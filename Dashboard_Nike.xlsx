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97e\Downloads\"/>
    </mc:Choice>
  </mc:AlternateContent>
  <xr:revisionPtr revIDLastSave="0" documentId="13_ncr:1_{1C0132EB-0DEA-45BA-9172-545078AB341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Base_Dados" sheetId="1" r:id="rId1"/>
    <sheet name="Assets" sheetId="2" r:id="rId2"/>
    <sheet name="Calculos" sheetId="3" state="hidden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F8" i="4"/>
  <c r="C48" i="3"/>
  <c r="B48" i="3"/>
  <c r="C47" i="3"/>
  <c r="B4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B28" i="3"/>
  <c r="F27" i="3"/>
  <c r="E27" i="3"/>
  <c r="B27" i="3"/>
  <c r="I8" i="4" l="1"/>
</calcChain>
</file>

<file path=xl/sharedStrings.xml><?xml version="1.0" encoding="utf-8"?>
<sst xmlns="http://schemas.openxmlformats.org/spreadsheetml/2006/main" count="420" uniqueCount="88">
  <si>
    <t>Data Venda</t>
  </si>
  <si>
    <t>Ano-Mês</t>
  </si>
  <si>
    <t>Loja</t>
  </si>
  <si>
    <t>Cidade</t>
  </si>
  <si>
    <t>Gênero</t>
  </si>
  <si>
    <t>Modelo</t>
  </si>
  <si>
    <t>Preço (R$)</t>
  </si>
  <si>
    <t>Quantidade</t>
  </si>
  <si>
    <t>Faturamento (R$)</t>
  </si>
  <si>
    <t>Idade</t>
  </si>
  <si>
    <t>2023-12</t>
  </si>
  <si>
    <t>Loja A</t>
  </si>
  <si>
    <t>São Paulo</t>
  </si>
  <si>
    <t>Masculino</t>
  </si>
  <si>
    <t>Air Max 97</t>
  </si>
  <si>
    <t>Loja B</t>
  </si>
  <si>
    <t>Rio de Janeiro</t>
  </si>
  <si>
    <t>Feminino</t>
  </si>
  <si>
    <t>Revolution 5</t>
  </si>
  <si>
    <t>Loja C</t>
  </si>
  <si>
    <t>Belo Horizonte</t>
  </si>
  <si>
    <t>Air Zoom Pegasus</t>
  </si>
  <si>
    <t>Curitiba</t>
  </si>
  <si>
    <t>Air Force 1</t>
  </si>
  <si>
    <t>Porto Alegre</t>
  </si>
  <si>
    <t>Air Max 270</t>
  </si>
  <si>
    <t>Salvador</t>
  </si>
  <si>
    <t>Dunk Low</t>
  </si>
  <si>
    <t>Fortaleza</t>
  </si>
  <si>
    <t>SB Chron 2</t>
  </si>
  <si>
    <t>Recife</t>
  </si>
  <si>
    <t>Air VaporMax</t>
  </si>
  <si>
    <t>Manaus</t>
  </si>
  <si>
    <t>Joyride</t>
  </si>
  <si>
    <t>Brasília</t>
  </si>
  <si>
    <t>Metcon 6</t>
  </si>
  <si>
    <t>Goiânia</t>
  </si>
  <si>
    <t>Campo Grande</t>
  </si>
  <si>
    <t>Florianópolis</t>
  </si>
  <si>
    <t>São Luís</t>
  </si>
  <si>
    <t>Natal</t>
  </si>
  <si>
    <t>Teresina</t>
  </si>
  <si>
    <t>João Pessoa</t>
  </si>
  <si>
    <t>Aracaju</t>
  </si>
  <si>
    <t>Maceió</t>
  </si>
  <si>
    <t>Palmas</t>
  </si>
  <si>
    <t>Vitória</t>
  </si>
  <si>
    <t>Cuiabá</t>
  </si>
  <si>
    <t>Belém</t>
  </si>
  <si>
    <t>Porto Velho</t>
  </si>
  <si>
    <t>Boa Vista</t>
  </si>
  <si>
    <t>Macapá</t>
  </si>
  <si>
    <t>Rio Branco</t>
  </si>
  <si>
    <t>2024-01</t>
  </si>
  <si>
    <t>Paleta de Cores</t>
  </si>
  <si>
    <t>Nome</t>
  </si>
  <si>
    <t>Hex</t>
  </si>
  <si>
    <t>Amostra</t>
  </si>
  <si>
    <t>Preto Nike (base)</t>
  </si>
  <si>
    <t>#111111</t>
  </si>
  <si>
    <t>Branco</t>
  </si>
  <si>
    <t>#FFFFFF</t>
  </si>
  <si>
    <t>Cinza Claro</t>
  </si>
  <si>
    <t>#F5F5F5</t>
  </si>
  <si>
    <t>Cinza Escuro</t>
  </si>
  <si>
    <t>#2B2B2B</t>
  </si>
  <si>
    <t>Volt (acento)</t>
  </si>
  <si>
    <t>#C7D300</t>
  </si>
  <si>
    <t>Laranja (alerta)</t>
  </si>
  <si>
    <t>#FF5A00</t>
  </si>
  <si>
    <t>CÁLCULOS / TABELAS DE APOIO (usadas no Dashboard)</t>
  </si>
  <si>
    <t>Listas para filtros (Data Validation)</t>
  </si>
  <si>
    <t>Lojas</t>
  </si>
  <si>
    <t>Cidades</t>
  </si>
  <si>
    <t>Generos</t>
  </si>
  <si>
    <t>Modelos</t>
  </si>
  <si>
    <t>Todos</t>
  </si>
  <si>
    <t>Receita por mês (para o gráfico)</t>
  </si>
  <si>
    <t>Receita por modelo (para Top modelos)</t>
  </si>
  <si>
    <t>Meses (para filtro)</t>
  </si>
  <si>
    <t>Receita (R$)</t>
  </si>
  <si>
    <t>Qtd</t>
  </si>
  <si>
    <t>Resumo por gênero</t>
  </si>
  <si>
    <t>Faturamento Total</t>
  </si>
  <si>
    <t>Qtd. Vendida</t>
  </si>
  <si>
    <t>Ticket Médio</t>
  </si>
  <si>
    <t>NIKE —  VENDAS (TÊNIS)</t>
  </si>
  <si>
    <t>Imagens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</si>
</sst>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i/>
      <sz val="11"/>
      <color rgb="FF666666"/>
      <name val="Calibri"/>
    </font>
    <font>
      <b/>
      <sz val="14"/>
      <name val="Calibri"/>
    </font>
    <font>
      <sz val="10"/>
      <color rgb="FFDDDDDD"/>
      <name val="Calibri"/>
    </font>
    <font>
      <b/>
      <sz val="16"/>
      <color rgb="FF111111"/>
      <name val="Calibri"/>
    </font>
    <font>
      <sz val="11"/>
      <color rgb="FF444444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8"/>
      <color rgb="FFFFFFFF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2B2B2B"/>
      </patternFill>
    </fill>
    <fill>
      <patternFill patternType="solid">
        <fgColor rgb="FFC7D300"/>
      </patternFill>
    </fill>
    <fill>
      <patternFill patternType="solid">
        <fgColor rgb="FFFF5A00"/>
      </patternFill>
    </fill>
    <fill>
      <patternFill patternType="solid">
        <fgColor rgb="FFFF5A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2B2B2B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3" fillId="0" borderId="0" xfId="0" applyFont="1"/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0" fillId="9" borderId="0" xfId="0" applyFill="1" applyAlignment="1">
      <alignment horizontal="center"/>
    </xf>
    <xf numFmtId="0" fontId="0" fillId="10" borderId="0" xfId="0" applyFill="1"/>
    <xf numFmtId="0" fontId="10" fillId="12" borderId="2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12" fillId="0" borderId="0" xfId="0" applyFont="1"/>
    <xf numFmtId="0" fontId="13" fillId="0" borderId="0" xfId="0" applyFont="1"/>
    <xf numFmtId="0" fontId="5" fillId="0" borderId="0" xfId="0" applyFont="1"/>
    <xf numFmtId="0" fontId="0" fillId="9" borderId="0" xfId="0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0" fillId="2" borderId="0" xfId="0" applyFill="1"/>
    <xf numFmtId="0" fontId="3" fillId="10" borderId="0" xfId="0" applyFont="1" applyFill="1"/>
    <xf numFmtId="0" fontId="0" fillId="10" borderId="0" xfId="0" applyFill="1"/>
    <xf numFmtId="0" fontId="6" fillId="2" borderId="0" xfId="0" applyFont="1" applyFill="1" applyAlignment="1">
      <alignment horizontal="left" vertical="center"/>
    </xf>
    <xf numFmtId="0" fontId="8" fillId="10" borderId="0" xfId="0" applyFont="1" applyFill="1"/>
    <xf numFmtId="0" fontId="1" fillId="11" borderId="0" xfId="0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164" fontId="7" fillId="9" borderId="0" xfId="0" applyNumberFormat="1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1" fontId="7" fillId="9" borderId="3" xfId="0" applyNumberFormat="1" applyFont="1" applyFill="1" applyBorder="1" applyAlignment="1">
      <alignment horizontal="center" vertical="center"/>
    </xf>
    <xf numFmtId="1" fontId="7" fillId="9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5A00"/>
      <color rgb="FF2B2B2B"/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mês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 w="9525" cap="flat" cmpd="sng" algn="ctr">
          <a:solidFill>
            <a:schemeClr val="tx1">
              <a:tint val="75000"/>
              <a:shade val="95000"/>
              <a:satMod val="105000"/>
            </a:schemeClr>
          </a:solidFill>
          <a:prstDash val="solid"/>
          <a:round/>
        </a:ln>
        <a:effectLst/>
        <a:sp3d contourW="9525">
          <a:contourClr>
            <a:schemeClr val="tx1">
              <a:tint val="75000"/>
              <a:shade val="95000"/>
              <a:satMod val="10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Calculos!$B$26</c:f>
              <c:strCache>
                <c:ptCount val="1"/>
                <c:pt idx="0">
                  <c:v>Receita (R$)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  <a:sp3d/>
            </c:spPr>
          </c:dPt>
          <c:cat>
            <c:strRef>
              <c:f>Calculos!$A$27:$A$28</c:f>
              <c:strCache>
                <c:ptCount val="2"/>
                <c:pt idx="0">
                  <c:v>2023-12</c:v>
                </c:pt>
                <c:pt idx="1">
                  <c:v>2024-01</c:v>
                </c:pt>
              </c:strCache>
            </c:strRef>
          </c:cat>
          <c:val>
            <c:numRef>
              <c:f>Calculos!$B$27:$B$28</c:f>
              <c:numCache>
                <c:formatCode>\R\$\ #,##0.00</c:formatCode>
                <c:ptCount val="2"/>
                <c:pt idx="0">
                  <c:v>0</c:v>
                </c:pt>
                <c:pt idx="1">
                  <c:v>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F-4C61-95EC-FFB8848E7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0"/>
      </c:bar3DChart>
      <c:catAx>
        <c:axId val="1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Ano-Mês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modelos (Receita)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Calculos!$E$26</c:f>
              <c:strCache>
                <c:ptCount val="1"/>
                <c:pt idx="0">
                  <c:v>Receita (R$)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5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9B-4A89-9A6A-6AEEBAF2FD3D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9B-4A89-9A6A-6AEEBAF2FD3D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9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9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9B-4A89-9A6A-6AEEBAF2FD3D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90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90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F9B-4A89-9A6A-6AEEBAF2FD3D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70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70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F9B-4A89-9A6A-6AEEBAF2FD3D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0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50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F9B-4A89-9A6A-6AEEBAF2FD3D}"/>
              </c:ext>
            </c:extLst>
          </c:dPt>
          <c:cat>
            <c:strRef>
              <c:f>Calculos!$D$27:$D$32</c:f>
              <c:strCache>
                <c:ptCount val="6"/>
                <c:pt idx="0">
                  <c:v>Air VaporMax</c:v>
                </c:pt>
                <c:pt idx="1">
                  <c:v>Air Zoom Pegasus</c:v>
                </c:pt>
                <c:pt idx="2">
                  <c:v>Joyride</c:v>
                </c:pt>
                <c:pt idx="3">
                  <c:v>Air Max 97</c:v>
                </c:pt>
                <c:pt idx="4">
                  <c:v>Metcon 6</c:v>
                </c:pt>
                <c:pt idx="5">
                  <c:v>Dunk Low</c:v>
                </c:pt>
              </c:strCache>
            </c:strRef>
          </c:cat>
          <c:val>
            <c:numRef>
              <c:f>Calculos!$E$27:$E$32</c:f>
              <c:numCache>
                <c:formatCode>\R\$\ #,##0.00</c:formatCode>
                <c:ptCount val="6"/>
                <c:pt idx="0">
                  <c:v>1800</c:v>
                </c:pt>
                <c:pt idx="1">
                  <c:v>600</c:v>
                </c:pt>
                <c:pt idx="2">
                  <c:v>780</c:v>
                </c:pt>
                <c:pt idx="3">
                  <c:v>750</c:v>
                </c:pt>
                <c:pt idx="4">
                  <c:v>700</c:v>
                </c:pt>
                <c:pt idx="5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D-4F1E-9C99-2E58A3C4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Mix de receita por gênero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Calculos!$B$46</c:f>
              <c:strCache>
                <c:ptCount val="1"/>
                <c:pt idx="0">
                  <c:v>Receita (R$)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D2-43E9-82FE-A0AC08799BB6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D2-43E9-82FE-A0AC08799B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Calculos!$A$47:$A$48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Calculos!$B$47:$B$48</c:f>
              <c:numCache>
                <c:formatCode>\R\$\ #,##0.00</c:formatCode>
                <c:ptCount val="2"/>
                <c:pt idx="0">
                  <c:v>3140</c:v>
                </c:pt>
                <c:pt idx="1">
                  <c:v>3930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F-499C-8DDC-6DAA0E16C00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14</xdr:row>
      <xdr:rowOff>114300</xdr:rowOff>
    </xdr:from>
    <xdr:to>
      <xdr:col>6</xdr:col>
      <xdr:colOff>38100</xdr:colOff>
      <xdr:row>21</xdr:row>
      <xdr:rowOff>76200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F5AA9FE-5651-A8B5-B807-FADD7C8BE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2771775"/>
          <a:ext cx="1228725" cy="1228725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257177</xdr:colOff>
      <xdr:row>14</xdr:row>
      <xdr:rowOff>47625</xdr:rowOff>
    </xdr:from>
    <xdr:to>
      <xdr:col>3</xdr:col>
      <xdr:colOff>1390989</xdr:colOff>
      <xdr:row>22</xdr:row>
      <xdr:rowOff>6350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A5984C9-E548-405D-3F49-49284AB9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2" y="2705100"/>
          <a:ext cx="1133812" cy="140652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828676</xdr:colOff>
      <xdr:row>13</xdr:row>
      <xdr:rowOff>152403</xdr:rowOff>
    </xdr:from>
    <xdr:to>
      <xdr:col>0</xdr:col>
      <xdr:colOff>1602090</xdr:colOff>
      <xdr:row>21</xdr:row>
      <xdr:rowOff>158750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A62176F-58E0-15C5-1F07-C25B7C21C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2628903"/>
          <a:ext cx="773414" cy="1454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604346</xdr:colOff>
      <xdr:row>10</xdr:row>
      <xdr:rowOff>45983</xdr:rowOff>
    </xdr:from>
    <xdr:ext cx="4486275" cy="1990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441764</xdr:colOff>
      <xdr:row>10</xdr:row>
      <xdr:rowOff>45765</xdr:rowOff>
    </xdr:from>
    <xdr:ext cx="4381500" cy="19621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158750</xdr:colOff>
      <xdr:row>23</xdr:row>
      <xdr:rowOff>38100</xdr:rowOff>
    </xdr:from>
    <xdr:ext cx="4876800" cy="24384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0</xdr:col>
      <xdr:colOff>0</xdr:colOff>
      <xdr:row>0</xdr:row>
      <xdr:rowOff>2</xdr:rowOff>
    </xdr:from>
    <xdr:to>
      <xdr:col>1</xdr:col>
      <xdr:colOff>606447</xdr:colOff>
      <xdr:row>45</xdr:row>
      <xdr:rowOff>25401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CC6F8B0-7EA0-25D6-6952-E04C6FF36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1219200" cy="8391524"/>
        </a:xfrm>
        <a:prstGeom prst="rect">
          <a:avLst/>
        </a:prstGeom>
      </xdr:spPr>
    </xdr:pic>
    <xdr:clientData/>
  </xdr:twoCellAnchor>
  <xdr:twoCellAnchor editAs="oneCell">
    <xdr:from>
      <xdr:col>0</xdr:col>
      <xdr:colOff>22882</xdr:colOff>
      <xdr:row>0</xdr:row>
      <xdr:rowOff>3394</xdr:rowOff>
    </xdr:from>
    <xdr:to>
      <xdr:col>2</xdr:col>
      <xdr:colOff>26057</xdr:colOff>
      <xdr:row>5</xdr:row>
      <xdr:rowOff>114519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468527A-9EC4-48BE-89B5-6B3BA2A0D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82" y="3394"/>
          <a:ext cx="1228178" cy="12475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se" displayName="tbl_base" ref="A1:J61">
  <autoFilter ref="A1:J61" xr:uid="{00000000-0009-0000-0100-000001000000}"/>
  <tableColumns count="10">
    <tableColumn id="1" xr3:uid="{00000000-0010-0000-0000-000001000000}" name="Data Venda"/>
    <tableColumn id="2" xr3:uid="{00000000-0010-0000-0000-000002000000}" name="Ano-Mês"/>
    <tableColumn id="3" xr3:uid="{00000000-0010-0000-0000-000003000000}" name="Loja"/>
    <tableColumn id="4" xr3:uid="{00000000-0010-0000-0000-000004000000}" name="Cidade"/>
    <tableColumn id="5" xr3:uid="{00000000-0010-0000-0000-000005000000}" name="Gênero"/>
    <tableColumn id="6" xr3:uid="{00000000-0010-0000-0000-000006000000}" name="Modelo"/>
    <tableColumn id="7" xr3:uid="{00000000-0010-0000-0000-000007000000}" name="Preço (R$)"/>
    <tableColumn id="8" xr3:uid="{00000000-0010-0000-0000-000008000000}" name="Quantidade"/>
    <tableColumn id="9" xr3:uid="{00000000-0010-0000-0000-000009000000}" name="Faturamento (R$)"/>
    <tableColumn id="10" xr3:uid="{00000000-0010-0000-0000-00000A000000}" name="Id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workbookViewId="0">
      <pane ySplit="1" topLeftCell="A2" activePane="bottomLeft" state="frozen"/>
      <selection pane="bottomLeft" activeCell="I11" sqref="I11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6" customWidth="1"/>
    <col min="5" max="5" width="12" customWidth="1"/>
    <col min="6" max="6" width="18" customWidth="1"/>
    <col min="7" max="7" width="12" customWidth="1"/>
    <col min="8" max="8" width="10" customWidth="1"/>
    <col min="9" max="9" width="16" customWidth="1"/>
    <col min="10" max="10" width="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45261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749</v>
      </c>
      <c r="H2" s="5">
        <v>1</v>
      </c>
      <c r="I2" s="4">
        <v>749</v>
      </c>
      <c r="J2" s="5">
        <v>24</v>
      </c>
    </row>
    <row r="3" spans="1:10" x14ac:dyDescent="0.35">
      <c r="A3" s="2">
        <v>45262</v>
      </c>
      <c r="B3" s="3" t="s">
        <v>10</v>
      </c>
      <c r="C3" s="3" t="s">
        <v>15</v>
      </c>
      <c r="D3" s="3" t="s">
        <v>16</v>
      </c>
      <c r="E3" s="3" t="s">
        <v>17</v>
      </c>
      <c r="F3" s="3" t="s">
        <v>18</v>
      </c>
      <c r="G3" s="4">
        <v>299</v>
      </c>
      <c r="H3" s="5">
        <v>2</v>
      </c>
      <c r="I3" s="4">
        <v>598</v>
      </c>
      <c r="J3" s="5">
        <v>30</v>
      </c>
    </row>
    <row r="4" spans="1:10" x14ac:dyDescent="0.35">
      <c r="A4" s="2">
        <v>45263</v>
      </c>
      <c r="B4" s="3" t="s">
        <v>10</v>
      </c>
      <c r="C4" s="3" t="s">
        <v>19</v>
      </c>
      <c r="D4" s="3" t="s">
        <v>20</v>
      </c>
      <c r="E4" s="3" t="s">
        <v>13</v>
      </c>
      <c r="F4" s="3" t="s">
        <v>21</v>
      </c>
      <c r="G4" s="4">
        <v>599</v>
      </c>
      <c r="H4" s="5">
        <v>1</v>
      </c>
      <c r="I4" s="4">
        <v>599</v>
      </c>
      <c r="J4" s="5">
        <v>35</v>
      </c>
    </row>
    <row r="5" spans="1:10" x14ac:dyDescent="0.35">
      <c r="A5" s="2">
        <v>45264</v>
      </c>
      <c r="B5" s="3" t="s">
        <v>10</v>
      </c>
      <c r="C5" s="3" t="s">
        <v>11</v>
      </c>
      <c r="D5" s="3" t="s">
        <v>22</v>
      </c>
      <c r="E5" s="3" t="s">
        <v>17</v>
      </c>
      <c r="F5" s="3" t="s">
        <v>23</v>
      </c>
      <c r="G5" s="4">
        <v>549</v>
      </c>
      <c r="H5" s="5">
        <v>1</v>
      </c>
      <c r="I5" s="4">
        <v>549</v>
      </c>
      <c r="J5" s="5">
        <v>22</v>
      </c>
    </row>
    <row r="6" spans="1:10" x14ac:dyDescent="0.35">
      <c r="A6" s="2">
        <v>45265</v>
      </c>
      <c r="B6" s="3" t="s">
        <v>10</v>
      </c>
      <c r="C6" s="3" t="s">
        <v>15</v>
      </c>
      <c r="D6" s="3" t="s">
        <v>24</v>
      </c>
      <c r="E6" s="3" t="s">
        <v>17</v>
      </c>
      <c r="F6" s="3" t="s">
        <v>25</v>
      </c>
      <c r="G6" s="4">
        <v>649</v>
      </c>
      <c r="H6" s="5">
        <v>1</v>
      </c>
      <c r="I6" s="4">
        <v>649</v>
      </c>
      <c r="J6" s="5">
        <v>28</v>
      </c>
    </row>
    <row r="7" spans="1:10" x14ac:dyDescent="0.35">
      <c r="A7" s="2">
        <v>45266</v>
      </c>
      <c r="B7" s="3" t="s">
        <v>10</v>
      </c>
      <c r="C7" s="3" t="s">
        <v>19</v>
      </c>
      <c r="D7" s="3" t="s">
        <v>26</v>
      </c>
      <c r="E7" s="3" t="s">
        <v>13</v>
      </c>
      <c r="F7" s="3" t="s">
        <v>27</v>
      </c>
      <c r="G7" s="4">
        <v>579</v>
      </c>
      <c r="H7" s="5">
        <v>2</v>
      </c>
      <c r="I7" s="4">
        <v>1158</v>
      </c>
      <c r="J7" s="5">
        <v>33</v>
      </c>
    </row>
    <row r="8" spans="1:10" x14ac:dyDescent="0.35">
      <c r="A8" s="2">
        <v>45267</v>
      </c>
      <c r="B8" s="3" t="s">
        <v>10</v>
      </c>
      <c r="C8" s="3" t="s">
        <v>11</v>
      </c>
      <c r="D8" s="3" t="s">
        <v>28</v>
      </c>
      <c r="E8" s="3" t="s">
        <v>13</v>
      </c>
      <c r="F8" s="3" t="s">
        <v>29</v>
      </c>
      <c r="G8" s="4">
        <v>359</v>
      </c>
      <c r="H8" s="5">
        <v>1</v>
      </c>
      <c r="I8" s="4">
        <v>359</v>
      </c>
      <c r="J8" s="5">
        <v>19</v>
      </c>
    </row>
    <row r="9" spans="1:10" x14ac:dyDescent="0.35">
      <c r="A9" s="2">
        <v>45268</v>
      </c>
      <c r="B9" s="3" t="s">
        <v>10</v>
      </c>
      <c r="C9" s="3" t="s">
        <v>15</v>
      </c>
      <c r="D9" s="3" t="s">
        <v>30</v>
      </c>
      <c r="E9" s="3" t="s">
        <v>17</v>
      </c>
      <c r="F9" s="3" t="s">
        <v>31</v>
      </c>
      <c r="G9" s="4">
        <v>899</v>
      </c>
      <c r="H9" s="5">
        <v>1</v>
      </c>
      <c r="I9" s="4">
        <v>899</v>
      </c>
      <c r="J9" s="5">
        <v>27</v>
      </c>
    </row>
    <row r="10" spans="1:10" x14ac:dyDescent="0.35">
      <c r="A10" s="2">
        <v>45269</v>
      </c>
      <c r="B10" s="3" t="s">
        <v>10</v>
      </c>
      <c r="C10" s="3" t="s">
        <v>19</v>
      </c>
      <c r="D10" s="3" t="s">
        <v>32</v>
      </c>
      <c r="E10" s="3" t="s">
        <v>17</v>
      </c>
      <c r="F10" s="3" t="s">
        <v>33</v>
      </c>
      <c r="G10" s="4">
        <v>779</v>
      </c>
      <c r="H10" s="5">
        <v>1</v>
      </c>
      <c r="I10" s="4">
        <v>779</v>
      </c>
      <c r="J10" s="5">
        <v>36</v>
      </c>
    </row>
    <row r="11" spans="1:10" x14ac:dyDescent="0.35">
      <c r="A11" s="2">
        <v>45270</v>
      </c>
      <c r="B11" s="3" t="s">
        <v>10</v>
      </c>
      <c r="C11" s="3" t="s">
        <v>11</v>
      </c>
      <c r="D11" s="3" t="s">
        <v>34</v>
      </c>
      <c r="E11" s="3" t="s">
        <v>13</v>
      </c>
      <c r="F11" s="3" t="s">
        <v>35</v>
      </c>
      <c r="G11" s="4">
        <v>699</v>
      </c>
      <c r="H11" s="5">
        <v>1</v>
      </c>
      <c r="I11" s="4">
        <v>699</v>
      </c>
      <c r="J11" s="5">
        <v>25</v>
      </c>
    </row>
    <row r="12" spans="1:10" x14ac:dyDescent="0.35">
      <c r="A12" s="2">
        <v>45271</v>
      </c>
      <c r="B12" s="3" t="s">
        <v>10</v>
      </c>
      <c r="C12" s="3" t="s">
        <v>15</v>
      </c>
      <c r="D12" s="3" t="s">
        <v>36</v>
      </c>
      <c r="E12" s="3" t="s">
        <v>17</v>
      </c>
      <c r="F12" s="3" t="s">
        <v>14</v>
      </c>
      <c r="G12" s="4">
        <v>750</v>
      </c>
      <c r="H12" s="5">
        <v>1</v>
      </c>
      <c r="I12" s="4">
        <v>750</v>
      </c>
      <c r="J12" s="5">
        <v>20</v>
      </c>
    </row>
    <row r="13" spans="1:10" x14ac:dyDescent="0.35">
      <c r="A13" s="2">
        <v>45272</v>
      </c>
      <c r="B13" s="3" t="s">
        <v>10</v>
      </c>
      <c r="C13" s="3" t="s">
        <v>19</v>
      </c>
      <c r="D13" s="3" t="s">
        <v>37</v>
      </c>
      <c r="E13" s="3" t="s">
        <v>13</v>
      </c>
      <c r="F13" s="3" t="s">
        <v>18</v>
      </c>
      <c r="G13" s="4">
        <v>300</v>
      </c>
      <c r="H13" s="5">
        <v>1</v>
      </c>
      <c r="I13" s="4">
        <v>300</v>
      </c>
      <c r="J13" s="5">
        <v>34</v>
      </c>
    </row>
    <row r="14" spans="1:10" x14ac:dyDescent="0.35">
      <c r="A14" s="2">
        <v>45273</v>
      </c>
      <c r="B14" s="3" t="s">
        <v>10</v>
      </c>
      <c r="C14" s="3" t="s">
        <v>11</v>
      </c>
      <c r="D14" s="3" t="s">
        <v>38</v>
      </c>
      <c r="E14" s="3" t="s">
        <v>17</v>
      </c>
      <c r="F14" s="3" t="s">
        <v>21</v>
      </c>
      <c r="G14" s="4">
        <v>600</v>
      </c>
      <c r="H14" s="5">
        <v>2</v>
      </c>
      <c r="I14" s="4">
        <v>1200</v>
      </c>
      <c r="J14" s="5">
        <v>29</v>
      </c>
    </row>
    <row r="15" spans="1:10" x14ac:dyDescent="0.35">
      <c r="A15" s="2">
        <v>45274</v>
      </c>
      <c r="B15" s="3" t="s">
        <v>10</v>
      </c>
      <c r="C15" s="3" t="s">
        <v>15</v>
      </c>
      <c r="D15" s="3" t="s">
        <v>39</v>
      </c>
      <c r="E15" s="3" t="s">
        <v>13</v>
      </c>
      <c r="F15" s="3" t="s">
        <v>23</v>
      </c>
      <c r="G15" s="4">
        <v>550</v>
      </c>
      <c r="H15" s="5">
        <v>1</v>
      </c>
      <c r="I15" s="4">
        <v>550</v>
      </c>
      <c r="J15" s="5">
        <v>22</v>
      </c>
    </row>
    <row r="16" spans="1:10" x14ac:dyDescent="0.35">
      <c r="A16" s="2">
        <v>45275</v>
      </c>
      <c r="B16" s="3" t="s">
        <v>10</v>
      </c>
      <c r="C16" s="3" t="s">
        <v>19</v>
      </c>
      <c r="D16" s="3" t="s">
        <v>40</v>
      </c>
      <c r="E16" s="3" t="s">
        <v>17</v>
      </c>
      <c r="F16" s="3" t="s">
        <v>25</v>
      </c>
      <c r="G16" s="4">
        <v>650</v>
      </c>
      <c r="H16" s="5">
        <v>1</v>
      </c>
      <c r="I16" s="4">
        <v>650</v>
      </c>
      <c r="J16" s="5">
        <v>45</v>
      </c>
    </row>
    <row r="17" spans="1:10" x14ac:dyDescent="0.35">
      <c r="A17" s="2">
        <v>45276</v>
      </c>
      <c r="B17" s="3" t="s">
        <v>10</v>
      </c>
      <c r="C17" s="3" t="s">
        <v>11</v>
      </c>
      <c r="D17" s="3" t="s">
        <v>41</v>
      </c>
      <c r="E17" s="3" t="s">
        <v>13</v>
      </c>
      <c r="F17" s="3" t="s">
        <v>27</v>
      </c>
      <c r="G17" s="4">
        <v>580</v>
      </c>
      <c r="H17" s="5">
        <v>1</v>
      </c>
      <c r="I17" s="4">
        <v>580</v>
      </c>
      <c r="J17" s="5">
        <v>27</v>
      </c>
    </row>
    <row r="18" spans="1:10" x14ac:dyDescent="0.35">
      <c r="A18" s="2">
        <v>45277</v>
      </c>
      <c r="B18" s="3" t="s">
        <v>10</v>
      </c>
      <c r="C18" s="3" t="s">
        <v>15</v>
      </c>
      <c r="D18" s="3" t="s">
        <v>42</v>
      </c>
      <c r="E18" s="3" t="s">
        <v>17</v>
      </c>
      <c r="F18" s="3" t="s">
        <v>29</v>
      </c>
      <c r="G18" s="4">
        <v>360</v>
      </c>
      <c r="H18" s="5">
        <v>1</v>
      </c>
      <c r="I18" s="4">
        <v>360</v>
      </c>
      <c r="J18" s="5">
        <v>31</v>
      </c>
    </row>
    <row r="19" spans="1:10" x14ac:dyDescent="0.35">
      <c r="A19" s="2">
        <v>45278</v>
      </c>
      <c r="B19" s="3" t="s">
        <v>10</v>
      </c>
      <c r="C19" s="3" t="s">
        <v>19</v>
      </c>
      <c r="D19" s="3" t="s">
        <v>43</v>
      </c>
      <c r="E19" s="3" t="s">
        <v>13</v>
      </c>
      <c r="F19" s="3" t="s">
        <v>31</v>
      </c>
      <c r="G19" s="4">
        <v>900</v>
      </c>
      <c r="H19" s="5">
        <v>2</v>
      </c>
      <c r="I19" s="4">
        <v>1800</v>
      </c>
      <c r="J19" s="5">
        <v>26</v>
      </c>
    </row>
    <row r="20" spans="1:10" x14ac:dyDescent="0.35">
      <c r="A20" s="2">
        <v>45279</v>
      </c>
      <c r="B20" s="3" t="s">
        <v>10</v>
      </c>
      <c r="C20" s="3" t="s">
        <v>11</v>
      </c>
      <c r="D20" s="3" t="s">
        <v>44</v>
      </c>
      <c r="E20" s="3" t="s">
        <v>17</v>
      </c>
      <c r="F20" s="3" t="s">
        <v>33</v>
      </c>
      <c r="G20" s="4">
        <v>780</v>
      </c>
      <c r="H20" s="5">
        <v>1</v>
      </c>
      <c r="I20" s="4">
        <v>780</v>
      </c>
      <c r="J20" s="5">
        <v>30</v>
      </c>
    </row>
    <row r="21" spans="1:10" x14ac:dyDescent="0.35">
      <c r="A21" s="2">
        <v>45280</v>
      </c>
      <c r="B21" s="3" t="s">
        <v>10</v>
      </c>
      <c r="C21" s="3" t="s">
        <v>15</v>
      </c>
      <c r="D21" s="3" t="s">
        <v>45</v>
      </c>
      <c r="E21" s="3" t="s">
        <v>13</v>
      </c>
      <c r="F21" s="3" t="s">
        <v>35</v>
      </c>
      <c r="G21" s="4">
        <v>700</v>
      </c>
      <c r="H21" s="5">
        <v>1</v>
      </c>
      <c r="I21" s="4">
        <v>700</v>
      </c>
      <c r="J21" s="5">
        <v>35</v>
      </c>
    </row>
    <row r="22" spans="1:10" x14ac:dyDescent="0.35">
      <c r="A22" s="2">
        <v>45281</v>
      </c>
      <c r="B22" s="3" t="s">
        <v>10</v>
      </c>
      <c r="C22" s="3" t="s">
        <v>19</v>
      </c>
      <c r="D22" s="3" t="s">
        <v>46</v>
      </c>
      <c r="E22" s="3" t="s">
        <v>17</v>
      </c>
      <c r="F22" s="3" t="s">
        <v>14</v>
      </c>
      <c r="G22" s="4">
        <v>749</v>
      </c>
      <c r="H22" s="5">
        <v>1</v>
      </c>
      <c r="I22" s="4">
        <v>749</v>
      </c>
      <c r="J22" s="5">
        <v>21</v>
      </c>
    </row>
    <row r="23" spans="1:10" x14ac:dyDescent="0.35">
      <c r="A23" s="2">
        <v>45282</v>
      </c>
      <c r="B23" s="3" t="s">
        <v>10</v>
      </c>
      <c r="C23" s="3" t="s">
        <v>11</v>
      </c>
      <c r="D23" s="3" t="s">
        <v>47</v>
      </c>
      <c r="E23" s="3" t="s">
        <v>13</v>
      </c>
      <c r="F23" s="3" t="s">
        <v>18</v>
      </c>
      <c r="G23" s="4">
        <v>299</v>
      </c>
      <c r="H23" s="5">
        <v>2</v>
      </c>
      <c r="I23" s="4">
        <v>598</v>
      </c>
      <c r="J23" s="5">
        <v>37</v>
      </c>
    </row>
    <row r="24" spans="1:10" x14ac:dyDescent="0.35">
      <c r="A24" s="2">
        <v>45283</v>
      </c>
      <c r="B24" s="3" t="s">
        <v>10</v>
      </c>
      <c r="C24" s="3" t="s">
        <v>15</v>
      </c>
      <c r="D24" s="3" t="s">
        <v>48</v>
      </c>
      <c r="E24" s="3" t="s">
        <v>17</v>
      </c>
      <c r="F24" s="3" t="s">
        <v>21</v>
      </c>
      <c r="G24" s="4">
        <v>599</v>
      </c>
      <c r="H24" s="5">
        <v>1</v>
      </c>
      <c r="I24" s="4">
        <v>599</v>
      </c>
      <c r="J24" s="5">
        <v>28</v>
      </c>
    </row>
    <row r="25" spans="1:10" x14ac:dyDescent="0.35">
      <c r="A25" s="2">
        <v>45284</v>
      </c>
      <c r="B25" s="3" t="s">
        <v>10</v>
      </c>
      <c r="C25" s="3" t="s">
        <v>19</v>
      </c>
      <c r="D25" s="3" t="s">
        <v>49</v>
      </c>
      <c r="E25" s="3" t="s">
        <v>13</v>
      </c>
      <c r="F25" s="3" t="s">
        <v>23</v>
      </c>
      <c r="G25" s="4">
        <v>549</v>
      </c>
      <c r="H25" s="5">
        <v>1</v>
      </c>
      <c r="I25" s="4">
        <v>549</v>
      </c>
      <c r="J25" s="5">
        <v>23</v>
      </c>
    </row>
    <row r="26" spans="1:10" x14ac:dyDescent="0.35">
      <c r="A26" s="2">
        <v>45285</v>
      </c>
      <c r="B26" s="3" t="s">
        <v>10</v>
      </c>
      <c r="C26" s="3" t="s">
        <v>11</v>
      </c>
      <c r="D26" s="3" t="s">
        <v>50</v>
      </c>
      <c r="E26" s="3" t="s">
        <v>17</v>
      </c>
      <c r="F26" s="3" t="s">
        <v>25</v>
      </c>
      <c r="G26" s="4">
        <v>649</v>
      </c>
      <c r="H26" s="5">
        <v>1</v>
      </c>
      <c r="I26" s="4">
        <v>649</v>
      </c>
      <c r="J26" s="5">
        <v>19</v>
      </c>
    </row>
    <row r="27" spans="1:10" x14ac:dyDescent="0.35">
      <c r="A27" s="2">
        <v>45286</v>
      </c>
      <c r="B27" s="3" t="s">
        <v>10</v>
      </c>
      <c r="C27" s="3" t="s">
        <v>15</v>
      </c>
      <c r="D27" s="3" t="s">
        <v>51</v>
      </c>
      <c r="E27" s="3" t="s">
        <v>13</v>
      </c>
      <c r="F27" s="3" t="s">
        <v>27</v>
      </c>
      <c r="G27" s="4">
        <v>579</v>
      </c>
      <c r="H27" s="5">
        <v>1</v>
      </c>
      <c r="I27" s="4">
        <v>579</v>
      </c>
      <c r="J27" s="5">
        <v>33</v>
      </c>
    </row>
    <row r="28" spans="1:10" x14ac:dyDescent="0.35">
      <c r="A28" s="2">
        <v>45287</v>
      </c>
      <c r="B28" s="3" t="s">
        <v>10</v>
      </c>
      <c r="C28" s="3" t="s">
        <v>19</v>
      </c>
      <c r="D28" s="3" t="s">
        <v>52</v>
      </c>
      <c r="E28" s="3" t="s">
        <v>17</v>
      </c>
      <c r="F28" s="3" t="s">
        <v>29</v>
      </c>
      <c r="G28" s="4">
        <v>359</v>
      </c>
      <c r="H28" s="5">
        <v>2</v>
      </c>
      <c r="I28" s="4">
        <v>718</v>
      </c>
      <c r="J28" s="5">
        <v>22</v>
      </c>
    </row>
    <row r="29" spans="1:10" x14ac:dyDescent="0.35">
      <c r="A29" s="2">
        <v>45288</v>
      </c>
      <c r="B29" s="3" t="s">
        <v>10</v>
      </c>
      <c r="C29" s="3" t="s">
        <v>11</v>
      </c>
      <c r="D29" s="3" t="s">
        <v>24</v>
      </c>
      <c r="E29" s="3" t="s">
        <v>13</v>
      </c>
      <c r="F29" s="3" t="s">
        <v>31</v>
      </c>
      <c r="G29" s="4">
        <v>899</v>
      </c>
      <c r="H29" s="5">
        <v>1</v>
      </c>
      <c r="I29" s="4">
        <v>899</v>
      </c>
      <c r="J29" s="5">
        <v>27</v>
      </c>
    </row>
    <row r="30" spans="1:10" x14ac:dyDescent="0.35">
      <c r="A30" s="2">
        <v>45289</v>
      </c>
      <c r="B30" s="3" t="s">
        <v>10</v>
      </c>
      <c r="C30" s="3" t="s">
        <v>15</v>
      </c>
      <c r="D30" s="3" t="s">
        <v>12</v>
      </c>
      <c r="E30" s="3" t="s">
        <v>17</v>
      </c>
      <c r="F30" s="3" t="s">
        <v>33</v>
      </c>
      <c r="G30" s="4">
        <v>779</v>
      </c>
      <c r="H30" s="5">
        <v>1</v>
      </c>
      <c r="I30" s="4">
        <v>779</v>
      </c>
      <c r="J30" s="5">
        <v>36</v>
      </c>
    </row>
    <row r="31" spans="1:10" x14ac:dyDescent="0.35">
      <c r="A31" s="2">
        <v>45290</v>
      </c>
      <c r="B31" s="3" t="s">
        <v>10</v>
      </c>
      <c r="C31" s="3" t="s">
        <v>19</v>
      </c>
      <c r="D31" s="3" t="s">
        <v>26</v>
      </c>
      <c r="E31" s="3" t="s">
        <v>13</v>
      </c>
      <c r="F31" s="3" t="s">
        <v>35</v>
      </c>
      <c r="G31" s="4">
        <v>699</v>
      </c>
      <c r="H31" s="5">
        <v>1</v>
      </c>
      <c r="I31" s="4">
        <v>699</v>
      </c>
      <c r="J31" s="5">
        <v>25</v>
      </c>
    </row>
    <row r="32" spans="1:10" x14ac:dyDescent="0.35">
      <c r="A32" s="2">
        <v>45292</v>
      </c>
      <c r="B32" s="3" t="s">
        <v>53</v>
      </c>
      <c r="C32" s="3" t="s">
        <v>11</v>
      </c>
      <c r="D32" s="3" t="s">
        <v>16</v>
      </c>
      <c r="E32" s="3" t="s">
        <v>17</v>
      </c>
      <c r="F32" s="3" t="s">
        <v>14</v>
      </c>
      <c r="G32" s="4">
        <v>750</v>
      </c>
      <c r="H32" s="5">
        <v>1</v>
      </c>
      <c r="I32" s="4">
        <v>750</v>
      </c>
      <c r="J32" s="5">
        <v>29</v>
      </c>
    </row>
    <row r="33" spans="1:10" x14ac:dyDescent="0.35">
      <c r="A33" s="2">
        <v>45293</v>
      </c>
      <c r="B33" s="3" t="s">
        <v>53</v>
      </c>
      <c r="C33" s="3" t="s">
        <v>15</v>
      </c>
      <c r="D33" s="3" t="s">
        <v>22</v>
      </c>
      <c r="E33" s="3" t="s">
        <v>13</v>
      </c>
      <c r="F33" s="3" t="s">
        <v>18</v>
      </c>
      <c r="G33" s="4">
        <v>300</v>
      </c>
      <c r="H33" s="5">
        <v>1</v>
      </c>
      <c r="I33" s="4">
        <v>300</v>
      </c>
      <c r="J33" s="5">
        <v>32</v>
      </c>
    </row>
    <row r="34" spans="1:10" x14ac:dyDescent="0.35">
      <c r="A34" s="2">
        <v>45294</v>
      </c>
      <c r="B34" s="3" t="s">
        <v>53</v>
      </c>
      <c r="C34" s="3" t="s">
        <v>19</v>
      </c>
      <c r="D34" s="3" t="s">
        <v>20</v>
      </c>
      <c r="E34" s="3" t="s">
        <v>17</v>
      </c>
      <c r="F34" s="3" t="s">
        <v>21</v>
      </c>
      <c r="G34" s="4">
        <v>600</v>
      </c>
      <c r="H34" s="5">
        <v>2</v>
      </c>
      <c r="I34" s="4">
        <v>1200</v>
      </c>
      <c r="J34" s="5">
        <v>21</v>
      </c>
    </row>
    <row r="35" spans="1:10" x14ac:dyDescent="0.35">
      <c r="A35" s="2">
        <v>45295</v>
      </c>
      <c r="B35" s="3" t="s">
        <v>53</v>
      </c>
      <c r="C35" s="3" t="s">
        <v>11</v>
      </c>
      <c r="D35" s="3" t="s">
        <v>28</v>
      </c>
      <c r="E35" s="3" t="s">
        <v>13</v>
      </c>
      <c r="F35" s="3" t="s">
        <v>23</v>
      </c>
      <c r="G35" s="4">
        <v>550</v>
      </c>
      <c r="H35" s="5">
        <v>1</v>
      </c>
      <c r="I35" s="4">
        <v>550</v>
      </c>
      <c r="J35" s="5">
        <v>34</v>
      </c>
    </row>
    <row r="36" spans="1:10" x14ac:dyDescent="0.35">
      <c r="A36" s="2">
        <v>45296</v>
      </c>
      <c r="B36" s="3" t="s">
        <v>53</v>
      </c>
      <c r="C36" s="3" t="s">
        <v>15</v>
      </c>
      <c r="D36" s="3" t="s">
        <v>32</v>
      </c>
      <c r="E36" s="3" t="s">
        <v>17</v>
      </c>
      <c r="F36" s="3" t="s">
        <v>25</v>
      </c>
      <c r="G36" s="4">
        <v>650</v>
      </c>
      <c r="H36" s="5">
        <v>1</v>
      </c>
      <c r="I36" s="4">
        <v>650</v>
      </c>
      <c r="J36" s="5">
        <v>28</v>
      </c>
    </row>
    <row r="37" spans="1:10" x14ac:dyDescent="0.35">
      <c r="A37" s="2">
        <v>45297</v>
      </c>
      <c r="B37" s="3" t="s">
        <v>53</v>
      </c>
      <c r="C37" s="3" t="s">
        <v>19</v>
      </c>
      <c r="D37" s="3" t="s">
        <v>34</v>
      </c>
      <c r="E37" s="3" t="s">
        <v>13</v>
      </c>
      <c r="F37" s="3" t="s">
        <v>27</v>
      </c>
      <c r="G37" s="4">
        <v>580</v>
      </c>
      <c r="H37" s="5">
        <v>1</v>
      </c>
      <c r="I37" s="4">
        <v>580</v>
      </c>
      <c r="J37" s="5">
        <v>30</v>
      </c>
    </row>
    <row r="38" spans="1:10" x14ac:dyDescent="0.35">
      <c r="A38" s="2">
        <v>45298</v>
      </c>
      <c r="B38" s="3" t="s">
        <v>53</v>
      </c>
      <c r="C38" s="3" t="s">
        <v>11</v>
      </c>
      <c r="D38" s="3" t="s">
        <v>30</v>
      </c>
      <c r="E38" s="3" t="s">
        <v>17</v>
      </c>
      <c r="F38" s="3" t="s">
        <v>29</v>
      </c>
      <c r="G38" s="4">
        <v>360</v>
      </c>
      <c r="H38" s="5">
        <v>1</v>
      </c>
      <c r="I38" s="4">
        <v>360</v>
      </c>
      <c r="J38" s="5">
        <v>24</v>
      </c>
    </row>
    <row r="39" spans="1:10" x14ac:dyDescent="0.35">
      <c r="A39" s="2">
        <v>45299</v>
      </c>
      <c r="B39" s="3" t="s">
        <v>53</v>
      </c>
      <c r="C39" s="3" t="s">
        <v>15</v>
      </c>
      <c r="D39" s="3" t="s">
        <v>24</v>
      </c>
      <c r="E39" s="3" t="s">
        <v>13</v>
      </c>
      <c r="F39" s="3" t="s">
        <v>31</v>
      </c>
      <c r="G39" s="4">
        <v>900</v>
      </c>
      <c r="H39" s="5">
        <v>2</v>
      </c>
      <c r="I39" s="4">
        <v>1800</v>
      </c>
      <c r="J39" s="5">
        <v>23</v>
      </c>
    </row>
    <row r="40" spans="1:10" x14ac:dyDescent="0.35">
      <c r="A40" s="2">
        <v>45300</v>
      </c>
      <c r="B40" s="3" t="s">
        <v>53</v>
      </c>
      <c r="C40" s="3" t="s">
        <v>19</v>
      </c>
      <c r="D40" s="3" t="s">
        <v>36</v>
      </c>
      <c r="E40" s="3" t="s">
        <v>17</v>
      </c>
      <c r="F40" s="3" t="s">
        <v>33</v>
      </c>
      <c r="G40" s="4">
        <v>780</v>
      </c>
      <c r="H40" s="5">
        <v>1</v>
      </c>
      <c r="I40" s="4">
        <v>780</v>
      </c>
      <c r="J40" s="5">
        <v>27</v>
      </c>
    </row>
    <row r="41" spans="1:10" x14ac:dyDescent="0.35">
      <c r="A41" s="2">
        <v>45301</v>
      </c>
      <c r="B41" s="3" t="s">
        <v>53</v>
      </c>
      <c r="C41" s="3" t="s">
        <v>11</v>
      </c>
      <c r="D41" s="3" t="s">
        <v>39</v>
      </c>
      <c r="E41" s="3" t="s">
        <v>13</v>
      </c>
      <c r="F41" s="3" t="s">
        <v>35</v>
      </c>
      <c r="G41" s="4">
        <v>700</v>
      </c>
      <c r="H41" s="5">
        <v>1</v>
      </c>
      <c r="I41" s="4">
        <v>700</v>
      </c>
      <c r="J41" s="5">
        <v>35</v>
      </c>
    </row>
    <row r="42" spans="1:10" x14ac:dyDescent="0.35">
      <c r="A42" s="2">
        <v>45302</v>
      </c>
      <c r="B42" s="3" t="s">
        <v>53</v>
      </c>
      <c r="C42" s="3" t="s">
        <v>15</v>
      </c>
      <c r="D42" s="3" t="s">
        <v>48</v>
      </c>
      <c r="E42" s="3" t="s">
        <v>17</v>
      </c>
      <c r="F42" s="3" t="s">
        <v>14</v>
      </c>
      <c r="G42" s="4">
        <v>750</v>
      </c>
      <c r="H42" s="5">
        <v>1</v>
      </c>
      <c r="I42" s="4">
        <v>750</v>
      </c>
      <c r="J42" s="5">
        <v>22</v>
      </c>
    </row>
    <row r="43" spans="1:10" x14ac:dyDescent="0.35">
      <c r="A43" s="2">
        <v>45303</v>
      </c>
      <c r="B43" s="3" t="s">
        <v>53</v>
      </c>
      <c r="C43" s="3" t="s">
        <v>19</v>
      </c>
      <c r="D43" s="3" t="s">
        <v>44</v>
      </c>
      <c r="E43" s="3" t="s">
        <v>13</v>
      </c>
      <c r="F43" s="3" t="s">
        <v>18</v>
      </c>
      <c r="G43" s="4">
        <v>300</v>
      </c>
      <c r="H43" s="5">
        <v>1</v>
      </c>
      <c r="I43" s="4">
        <v>300</v>
      </c>
      <c r="J43" s="5">
        <v>35</v>
      </c>
    </row>
    <row r="44" spans="1:10" x14ac:dyDescent="0.35">
      <c r="A44" s="2">
        <v>45304</v>
      </c>
      <c r="B44" s="3" t="s">
        <v>53</v>
      </c>
      <c r="C44" s="3" t="s">
        <v>11</v>
      </c>
      <c r="D44" s="3" t="s">
        <v>24</v>
      </c>
      <c r="E44" s="3" t="s">
        <v>17</v>
      </c>
      <c r="F44" s="3" t="s">
        <v>21</v>
      </c>
      <c r="G44" s="4">
        <v>600</v>
      </c>
      <c r="H44" s="5">
        <v>1</v>
      </c>
      <c r="I44" s="4">
        <v>600</v>
      </c>
      <c r="J44" s="5">
        <v>29</v>
      </c>
    </row>
    <row r="45" spans="1:10" x14ac:dyDescent="0.35">
      <c r="A45" s="2">
        <v>45305</v>
      </c>
      <c r="B45" s="3" t="s">
        <v>53</v>
      </c>
      <c r="C45" s="3" t="s">
        <v>15</v>
      </c>
      <c r="D45" s="3" t="s">
        <v>12</v>
      </c>
      <c r="E45" s="3" t="s">
        <v>13</v>
      </c>
      <c r="F45" s="3" t="s">
        <v>23</v>
      </c>
      <c r="G45" s="4">
        <v>550</v>
      </c>
      <c r="H45" s="5">
        <v>1</v>
      </c>
      <c r="I45" s="4">
        <v>550</v>
      </c>
      <c r="J45" s="5">
        <v>24</v>
      </c>
    </row>
    <row r="46" spans="1:10" x14ac:dyDescent="0.35">
      <c r="A46" s="2">
        <v>45306</v>
      </c>
      <c r="B46" s="3" t="s">
        <v>53</v>
      </c>
      <c r="C46" s="3" t="s">
        <v>19</v>
      </c>
      <c r="D46" s="3" t="s">
        <v>16</v>
      </c>
      <c r="E46" s="3" t="s">
        <v>17</v>
      </c>
      <c r="F46" s="3" t="s">
        <v>25</v>
      </c>
      <c r="G46" s="4">
        <v>650</v>
      </c>
      <c r="H46" s="5">
        <v>1</v>
      </c>
      <c r="I46" s="4">
        <v>650</v>
      </c>
      <c r="J46" s="5">
        <v>42</v>
      </c>
    </row>
    <row r="47" spans="1:10" x14ac:dyDescent="0.35">
      <c r="A47" s="2">
        <v>45307</v>
      </c>
      <c r="B47" s="3" t="s">
        <v>53</v>
      </c>
      <c r="C47" s="3" t="s">
        <v>11</v>
      </c>
      <c r="D47" s="3" t="s">
        <v>22</v>
      </c>
      <c r="E47" s="3" t="s">
        <v>13</v>
      </c>
      <c r="F47" s="3" t="s">
        <v>27</v>
      </c>
      <c r="G47" s="4">
        <v>580</v>
      </c>
      <c r="H47" s="5">
        <v>1</v>
      </c>
      <c r="I47" s="4">
        <v>580</v>
      </c>
      <c r="J47" s="5">
        <v>27</v>
      </c>
    </row>
    <row r="48" spans="1:10" x14ac:dyDescent="0.35">
      <c r="A48" s="2">
        <v>45308</v>
      </c>
      <c r="B48" s="3" t="s">
        <v>53</v>
      </c>
      <c r="C48" s="3" t="s">
        <v>15</v>
      </c>
      <c r="D48" s="3" t="s">
        <v>26</v>
      </c>
      <c r="E48" s="3" t="s">
        <v>17</v>
      </c>
      <c r="F48" s="3" t="s">
        <v>29</v>
      </c>
      <c r="G48" s="4">
        <v>360</v>
      </c>
      <c r="H48" s="5">
        <v>1</v>
      </c>
      <c r="I48" s="4">
        <v>360</v>
      </c>
      <c r="J48" s="5">
        <v>30</v>
      </c>
    </row>
    <row r="49" spans="1:10" x14ac:dyDescent="0.35">
      <c r="A49" s="2">
        <v>45309</v>
      </c>
      <c r="B49" s="3" t="s">
        <v>53</v>
      </c>
      <c r="C49" s="3" t="s">
        <v>19</v>
      </c>
      <c r="D49" s="3" t="s">
        <v>28</v>
      </c>
      <c r="E49" s="3" t="s">
        <v>13</v>
      </c>
      <c r="F49" s="3" t="s">
        <v>31</v>
      </c>
      <c r="G49" s="4">
        <v>900</v>
      </c>
      <c r="H49" s="5">
        <v>1</v>
      </c>
      <c r="I49" s="4">
        <v>900</v>
      </c>
      <c r="J49" s="5">
        <v>23</v>
      </c>
    </row>
    <row r="50" spans="1:10" x14ac:dyDescent="0.35">
      <c r="A50" s="2">
        <v>45310</v>
      </c>
      <c r="B50" s="3" t="s">
        <v>53</v>
      </c>
      <c r="C50" s="3" t="s">
        <v>11</v>
      </c>
      <c r="D50" s="3" t="s">
        <v>34</v>
      </c>
      <c r="E50" s="3" t="s">
        <v>17</v>
      </c>
      <c r="F50" s="3" t="s">
        <v>33</v>
      </c>
      <c r="G50" s="4">
        <v>780</v>
      </c>
      <c r="H50" s="5">
        <v>1</v>
      </c>
      <c r="I50" s="4">
        <v>780</v>
      </c>
      <c r="J50" s="5">
        <v>31</v>
      </c>
    </row>
    <row r="51" spans="1:10" x14ac:dyDescent="0.35">
      <c r="A51" s="2">
        <v>45311</v>
      </c>
      <c r="B51" s="3" t="s">
        <v>53</v>
      </c>
      <c r="C51" s="3" t="s">
        <v>15</v>
      </c>
      <c r="D51" s="3" t="s">
        <v>30</v>
      </c>
      <c r="E51" s="3" t="s">
        <v>13</v>
      </c>
      <c r="F51" s="3" t="s">
        <v>35</v>
      </c>
      <c r="G51" s="4">
        <v>700</v>
      </c>
      <c r="H51" s="5">
        <v>1</v>
      </c>
      <c r="I51" s="4">
        <v>700</v>
      </c>
      <c r="J51" s="5">
        <v>28</v>
      </c>
    </row>
    <row r="52" spans="1:10" x14ac:dyDescent="0.35">
      <c r="A52" s="2">
        <v>45312</v>
      </c>
      <c r="B52" s="3" t="s">
        <v>53</v>
      </c>
      <c r="C52" s="3" t="s">
        <v>19</v>
      </c>
      <c r="D52" s="3" t="s">
        <v>46</v>
      </c>
      <c r="E52" s="3" t="s">
        <v>17</v>
      </c>
      <c r="F52" s="3" t="s">
        <v>14</v>
      </c>
      <c r="G52" s="4">
        <v>750</v>
      </c>
      <c r="H52" s="5">
        <v>1</v>
      </c>
      <c r="I52" s="4">
        <v>750</v>
      </c>
      <c r="J52" s="5">
        <v>21</v>
      </c>
    </row>
    <row r="53" spans="1:10" x14ac:dyDescent="0.35">
      <c r="A53" s="2">
        <v>45313</v>
      </c>
      <c r="B53" s="3" t="s">
        <v>53</v>
      </c>
      <c r="C53" s="3" t="s">
        <v>11</v>
      </c>
      <c r="D53" s="3" t="s">
        <v>47</v>
      </c>
      <c r="E53" s="3" t="s">
        <v>13</v>
      </c>
      <c r="F53" s="3" t="s">
        <v>18</v>
      </c>
      <c r="G53" s="4">
        <v>300</v>
      </c>
      <c r="H53" s="5">
        <v>1</v>
      </c>
      <c r="I53" s="4">
        <v>300</v>
      </c>
      <c r="J53" s="5">
        <v>33</v>
      </c>
    </row>
    <row r="54" spans="1:10" x14ac:dyDescent="0.35">
      <c r="A54" s="2">
        <v>45314</v>
      </c>
      <c r="B54" s="3" t="s">
        <v>53</v>
      </c>
      <c r="C54" s="3" t="s">
        <v>15</v>
      </c>
      <c r="D54" s="3" t="s">
        <v>38</v>
      </c>
      <c r="E54" s="3" t="s">
        <v>17</v>
      </c>
      <c r="F54" s="3" t="s">
        <v>21</v>
      </c>
      <c r="G54" s="4">
        <v>600</v>
      </c>
      <c r="H54" s="5">
        <v>1</v>
      </c>
      <c r="I54" s="4">
        <v>600</v>
      </c>
      <c r="J54" s="5">
        <v>26</v>
      </c>
    </row>
    <row r="55" spans="1:10" x14ac:dyDescent="0.35">
      <c r="A55" s="2">
        <v>45315</v>
      </c>
      <c r="B55" s="3" t="s">
        <v>53</v>
      </c>
      <c r="C55" s="3" t="s">
        <v>19</v>
      </c>
      <c r="D55" s="3" t="s">
        <v>37</v>
      </c>
      <c r="E55" s="3" t="s">
        <v>13</v>
      </c>
      <c r="F55" s="3" t="s">
        <v>23</v>
      </c>
      <c r="G55" s="4">
        <v>550</v>
      </c>
      <c r="H55" s="5">
        <v>1</v>
      </c>
      <c r="I55" s="4">
        <v>550</v>
      </c>
      <c r="J55" s="5">
        <v>19</v>
      </c>
    </row>
    <row r="56" spans="1:10" x14ac:dyDescent="0.35">
      <c r="A56" s="2">
        <v>45316</v>
      </c>
      <c r="B56" s="3" t="s">
        <v>53</v>
      </c>
      <c r="C56" s="3" t="s">
        <v>11</v>
      </c>
      <c r="D56" s="3" t="s">
        <v>32</v>
      </c>
      <c r="E56" s="3" t="s">
        <v>17</v>
      </c>
      <c r="F56" s="3" t="s">
        <v>25</v>
      </c>
      <c r="G56" s="4">
        <v>650</v>
      </c>
      <c r="H56" s="5">
        <v>1</v>
      </c>
      <c r="I56" s="4">
        <v>650</v>
      </c>
      <c r="J56" s="5">
        <v>34</v>
      </c>
    </row>
    <row r="57" spans="1:10" x14ac:dyDescent="0.35">
      <c r="A57" s="2">
        <v>45317</v>
      </c>
      <c r="B57" s="3" t="s">
        <v>53</v>
      </c>
      <c r="C57" s="3" t="s">
        <v>15</v>
      </c>
      <c r="D57" s="3" t="s">
        <v>39</v>
      </c>
      <c r="E57" s="3" t="s">
        <v>13</v>
      </c>
      <c r="F57" s="3" t="s">
        <v>27</v>
      </c>
      <c r="G57" s="4">
        <v>580</v>
      </c>
      <c r="H57" s="5">
        <v>1</v>
      </c>
      <c r="I57" s="4">
        <v>580</v>
      </c>
      <c r="J57" s="5">
        <v>37</v>
      </c>
    </row>
    <row r="58" spans="1:10" x14ac:dyDescent="0.35">
      <c r="A58" s="2">
        <v>45318</v>
      </c>
      <c r="B58" s="3" t="s">
        <v>53</v>
      </c>
      <c r="C58" s="3" t="s">
        <v>19</v>
      </c>
      <c r="D58" s="3" t="s">
        <v>41</v>
      </c>
      <c r="E58" s="3" t="s">
        <v>17</v>
      </c>
      <c r="F58" s="3" t="s">
        <v>29</v>
      </c>
      <c r="G58" s="4">
        <v>360</v>
      </c>
      <c r="H58" s="5">
        <v>1</v>
      </c>
      <c r="I58" s="4">
        <v>360</v>
      </c>
      <c r="J58" s="5">
        <v>29</v>
      </c>
    </row>
    <row r="59" spans="1:10" x14ac:dyDescent="0.35">
      <c r="A59" s="2">
        <v>45319</v>
      </c>
      <c r="B59" s="3" t="s">
        <v>53</v>
      </c>
      <c r="C59" s="3" t="s">
        <v>11</v>
      </c>
      <c r="D59" s="3" t="s">
        <v>20</v>
      </c>
      <c r="E59" s="3" t="s">
        <v>13</v>
      </c>
      <c r="F59" s="3" t="s">
        <v>31</v>
      </c>
      <c r="G59" s="4">
        <v>900</v>
      </c>
      <c r="H59" s="5">
        <v>1</v>
      </c>
      <c r="I59" s="4">
        <v>900</v>
      </c>
      <c r="J59" s="5">
        <v>25</v>
      </c>
    </row>
    <row r="60" spans="1:10" x14ac:dyDescent="0.35">
      <c r="A60" s="2">
        <v>45320</v>
      </c>
      <c r="B60" s="3" t="s">
        <v>53</v>
      </c>
      <c r="C60" s="3" t="s">
        <v>15</v>
      </c>
      <c r="D60" s="3" t="s">
        <v>36</v>
      </c>
      <c r="E60" s="3" t="s">
        <v>17</v>
      </c>
      <c r="F60" s="3" t="s">
        <v>33</v>
      </c>
      <c r="G60" s="4">
        <v>780</v>
      </c>
      <c r="H60" s="5">
        <v>1</v>
      </c>
      <c r="I60" s="4">
        <v>780</v>
      </c>
      <c r="J60" s="5">
        <v>32</v>
      </c>
    </row>
    <row r="61" spans="1:10" x14ac:dyDescent="0.35">
      <c r="A61" s="2">
        <v>45321</v>
      </c>
      <c r="B61" s="3" t="s">
        <v>53</v>
      </c>
      <c r="C61" s="3" t="s">
        <v>19</v>
      </c>
      <c r="D61" s="3" t="s">
        <v>49</v>
      </c>
      <c r="E61" s="3" t="s">
        <v>13</v>
      </c>
      <c r="F61" s="3" t="s">
        <v>35</v>
      </c>
      <c r="G61" s="4">
        <v>700</v>
      </c>
      <c r="H61" s="5">
        <v>1</v>
      </c>
      <c r="I61" s="4">
        <v>700</v>
      </c>
      <c r="J61" s="5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J29" sqref="J29"/>
    </sheetView>
  </sheetViews>
  <sheetFormatPr defaultRowHeight="14.5" x14ac:dyDescent="0.35"/>
  <cols>
    <col min="1" max="1" width="24" customWidth="1"/>
    <col min="2" max="2" width="12" customWidth="1"/>
    <col min="3" max="3" width="10" customWidth="1"/>
    <col min="4" max="4" width="34" customWidth="1"/>
  </cols>
  <sheetData>
    <row r="1" spans="1:6" ht="21" x14ac:dyDescent="0.5">
      <c r="A1" s="28"/>
      <c r="B1" s="25"/>
      <c r="C1" s="25"/>
      <c r="D1" s="25"/>
      <c r="E1" s="25"/>
      <c r="F1" s="25"/>
    </row>
    <row r="3" spans="1:6" ht="15.5" x14ac:dyDescent="0.35">
      <c r="A3" s="6" t="s">
        <v>54</v>
      </c>
    </row>
    <row r="4" spans="1:6" x14ac:dyDescent="0.35">
      <c r="A4" s="7" t="s">
        <v>55</v>
      </c>
      <c r="B4" s="7" t="s">
        <v>56</v>
      </c>
      <c r="C4" s="7" t="s">
        <v>57</v>
      </c>
      <c r="D4" s="7"/>
      <c r="E4" s="7"/>
      <c r="F4" s="7"/>
    </row>
    <row r="5" spans="1:6" x14ac:dyDescent="0.35">
      <c r="A5" s="3" t="s">
        <v>58</v>
      </c>
      <c r="B5" s="3" t="s">
        <v>59</v>
      </c>
      <c r="C5" s="8"/>
      <c r="D5" s="3"/>
    </row>
    <row r="6" spans="1:6" x14ac:dyDescent="0.35">
      <c r="A6" s="3" t="s">
        <v>60</v>
      </c>
      <c r="B6" s="3" t="s">
        <v>61</v>
      </c>
      <c r="C6" s="9"/>
      <c r="D6" s="3"/>
    </row>
    <row r="7" spans="1:6" x14ac:dyDescent="0.35">
      <c r="A7" s="3" t="s">
        <v>62</v>
      </c>
      <c r="B7" s="3" t="s">
        <v>63</v>
      </c>
      <c r="C7" s="10"/>
      <c r="D7" s="3"/>
    </row>
    <row r="8" spans="1:6" x14ac:dyDescent="0.35">
      <c r="A8" s="3" t="s">
        <v>64</v>
      </c>
      <c r="B8" s="3" t="s">
        <v>65</v>
      </c>
      <c r="C8" s="11"/>
      <c r="D8" s="3"/>
    </row>
    <row r="9" spans="1:6" x14ac:dyDescent="0.35">
      <c r="A9" s="3" t="s">
        <v>66</v>
      </c>
      <c r="B9" s="3" t="s">
        <v>67</v>
      </c>
      <c r="C9" s="12"/>
      <c r="D9" s="3"/>
    </row>
    <row r="10" spans="1:6" x14ac:dyDescent="0.35">
      <c r="A10" s="3" t="s">
        <v>68</v>
      </c>
      <c r="B10" s="3" t="s">
        <v>69</v>
      </c>
      <c r="C10" s="13"/>
      <c r="D10" s="3"/>
    </row>
    <row r="12" spans="1:6" ht="15.5" x14ac:dyDescent="0.35">
      <c r="A12" s="29" t="s">
        <v>87</v>
      </c>
      <c r="B12" s="25"/>
      <c r="C12" s="25"/>
      <c r="D12" s="25"/>
      <c r="E12" s="25"/>
      <c r="F12" s="25"/>
    </row>
    <row r="13" spans="1:6" x14ac:dyDescent="0.35">
      <c r="A13" s="24"/>
      <c r="B13" s="25"/>
      <c r="C13" s="25"/>
      <c r="D13" s="25"/>
      <c r="E13" s="25"/>
      <c r="F13" s="25"/>
    </row>
    <row r="15" spans="1:6" x14ac:dyDescent="0.35">
      <c r="A15" s="26"/>
      <c r="B15" s="27"/>
      <c r="C15" s="26"/>
      <c r="D15" s="27"/>
      <c r="E15" s="26"/>
      <c r="F15" s="27"/>
    </row>
    <row r="16" spans="1:6" x14ac:dyDescent="0.35">
      <c r="A16" s="27"/>
      <c r="B16" s="27"/>
      <c r="C16" s="27"/>
      <c r="D16" s="27"/>
      <c r="E16" s="27"/>
      <c r="F16" s="27"/>
    </row>
    <row r="17" spans="1:6" x14ac:dyDescent="0.35">
      <c r="A17" s="27"/>
      <c r="B17" s="27"/>
      <c r="C17" s="27"/>
      <c r="D17" s="27"/>
      <c r="E17" s="27"/>
      <c r="F17" s="27"/>
    </row>
    <row r="18" spans="1:6" x14ac:dyDescent="0.35">
      <c r="A18" s="27"/>
      <c r="B18" s="27"/>
      <c r="C18" s="27"/>
      <c r="D18" s="27"/>
      <c r="E18" s="27"/>
      <c r="F18" s="27"/>
    </row>
    <row r="19" spans="1:6" x14ac:dyDescent="0.35">
      <c r="A19" s="27"/>
      <c r="B19" s="27"/>
      <c r="C19" s="27"/>
      <c r="D19" s="27"/>
      <c r="E19" s="27"/>
      <c r="F19" s="27"/>
    </row>
    <row r="20" spans="1:6" x14ac:dyDescent="0.35">
      <c r="A20" s="27"/>
      <c r="B20" s="27"/>
      <c r="C20" s="27"/>
      <c r="D20" s="27"/>
      <c r="E20" s="27"/>
      <c r="F20" s="27"/>
    </row>
    <row r="21" spans="1:6" x14ac:dyDescent="0.35">
      <c r="A21" s="27"/>
      <c r="B21" s="27"/>
      <c r="C21" s="27"/>
      <c r="D21" s="27"/>
      <c r="E21" s="27"/>
      <c r="F21" s="27"/>
    </row>
    <row r="22" spans="1:6" x14ac:dyDescent="0.35">
      <c r="A22" s="27"/>
      <c r="B22" s="27"/>
      <c r="C22" s="27"/>
      <c r="D22" s="27"/>
      <c r="E22" s="27"/>
      <c r="F22" s="27"/>
    </row>
  </sheetData>
  <mergeCells count="6">
    <mergeCell ref="A13:F13"/>
    <mergeCell ref="A15:B22"/>
    <mergeCell ref="A1:F1"/>
    <mergeCell ref="C15:D22"/>
    <mergeCell ref="E15:F22"/>
    <mergeCell ref="A12:F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>
      <selection sqref="A1:H1"/>
    </sheetView>
  </sheetViews>
  <sheetFormatPr defaultRowHeight="14.5" x14ac:dyDescent="0.35"/>
  <cols>
    <col min="1" max="1" width="12" customWidth="1"/>
    <col min="2" max="2" width="16" customWidth="1"/>
    <col min="3" max="3" width="18" customWidth="1"/>
    <col min="4" max="4" width="22" customWidth="1"/>
    <col min="5" max="5" width="16" customWidth="1"/>
    <col min="6" max="6" width="8" customWidth="1"/>
    <col min="8" max="8" width="14" customWidth="1"/>
  </cols>
  <sheetData>
    <row r="1" spans="1:8" ht="18.5" x14ac:dyDescent="0.45">
      <c r="A1" s="30" t="s">
        <v>70</v>
      </c>
      <c r="B1" s="25"/>
      <c r="C1" s="25"/>
      <c r="D1" s="25"/>
      <c r="E1" s="25"/>
      <c r="F1" s="25"/>
      <c r="G1" s="25"/>
      <c r="H1" s="25"/>
    </row>
    <row r="3" spans="1:8" x14ac:dyDescent="0.35">
      <c r="A3" s="14" t="s">
        <v>71</v>
      </c>
    </row>
    <row r="4" spans="1:8" x14ac:dyDescent="0.35">
      <c r="A4" s="14" t="s">
        <v>72</v>
      </c>
      <c r="B4" s="14" t="s">
        <v>73</v>
      </c>
      <c r="C4" s="14" t="s">
        <v>74</v>
      </c>
      <c r="D4" s="14" t="s">
        <v>75</v>
      </c>
    </row>
    <row r="5" spans="1:8" x14ac:dyDescent="0.35">
      <c r="A5" t="s">
        <v>76</v>
      </c>
      <c r="B5" t="s">
        <v>76</v>
      </c>
      <c r="C5" t="s">
        <v>76</v>
      </c>
      <c r="D5" t="s">
        <v>76</v>
      </c>
    </row>
    <row r="6" spans="1:8" x14ac:dyDescent="0.35">
      <c r="A6" t="s">
        <v>11</v>
      </c>
      <c r="B6" t="s">
        <v>43</v>
      </c>
      <c r="C6" t="s">
        <v>17</v>
      </c>
      <c r="D6" t="s">
        <v>23</v>
      </c>
    </row>
    <row r="7" spans="1:8" x14ac:dyDescent="0.35">
      <c r="A7" t="s">
        <v>15</v>
      </c>
      <c r="B7" t="s">
        <v>20</v>
      </c>
      <c r="C7" t="s">
        <v>13</v>
      </c>
      <c r="D7" t="s">
        <v>25</v>
      </c>
    </row>
    <row r="8" spans="1:8" x14ac:dyDescent="0.35">
      <c r="A8" t="s">
        <v>19</v>
      </c>
      <c r="B8" t="s">
        <v>48</v>
      </c>
      <c r="D8" t="s">
        <v>14</v>
      </c>
    </row>
    <row r="9" spans="1:8" x14ac:dyDescent="0.35">
      <c r="B9" t="s">
        <v>50</v>
      </c>
      <c r="D9" t="s">
        <v>31</v>
      </c>
    </row>
    <row r="10" spans="1:8" x14ac:dyDescent="0.35">
      <c r="B10" t="s">
        <v>34</v>
      </c>
      <c r="D10" t="s">
        <v>21</v>
      </c>
    </row>
    <row r="11" spans="1:8" x14ac:dyDescent="0.35">
      <c r="B11" t="s">
        <v>37</v>
      </c>
      <c r="D11" t="s">
        <v>27</v>
      </c>
    </row>
    <row r="12" spans="1:8" x14ac:dyDescent="0.35">
      <c r="B12" t="s">
        <v>47</v>
      </c>
      <c r="D12" t="s">
        <v>33</v>
      </c>
    </row>
    <row r="13" spans="1:8" x14ac:dyDescent="0.35">
      <c r="B13" t="s">
        <v>22</v>
      </c>
      <c r="D13" t="s">
        <v>35</v>
      </c>
    </row>
    <row r="14" spans="1:8" x14ac:dyDescent="0.35">
      <c r="B14" t="s">
        <v>38</v>
      </c>
      <c r="D14" t="s">
        <v>18</v>
      </c>
    </row>
    <row r="15" spans="1:8" x14ac:dyDescent="0.35">
      <c r="B15" t="s">
        <v>28</v>
      </c>
      <c r="D15" t="s">
        <v>29</v>
      </c>
    </row>
    <row r="16" spans="1:8" x14ac:dyDescent="0.35">
      <c r="B16" t="s">
        <v>36</v>
      </c>
    </row>
    <row r="17" spans="1:8" x14ac:dyDescent="0.35">
      <c r="B17" t="s">
        <v>42</v>
      </c>
    </row>
    <row r="18" spans="1:8" x14ac:dyDescent="0.35">
      <c r="B18" t="s">
        <v>51</v>
      </c>
    </row>
    <row r="19" spans="1:8" x14ac:dyDescent="0.35">
      <c r="B19" t="s">
        <v>44</v>
      </c>
    </row>
    <row r="20" spans="1:8" x14ac:dyDescent="0.35">
      <c r="B20" t="s">
        <v>32</v>
      </c>
    </row>
    <row r="21" spans="1:8" x14ac:dyDescent="0.35">
      <c r="B21" t="s">
        <v>40</v>
      </c>
    </row>
    <row r="22" spans="1:8" x14ac:dyDescent="0.35">
      <c r="B22" t="s">
        <v>45</v>
      </c>
    </row>
    <row r="23" spans="1:8" x14ac:dyDescent="0.35">
      <c r="B23" t="s">
        <v>24</v>
      </c>
    </row>
    <row r="24" spans="1:8" x14ac:dyDescent="0.35">
      <c r="B24" t="s">
        <v>49</v>
      </c>
    </row>
    <row r="25" spans="1:8" x14ac:dyDescent="0.35">
      <c r="A25" s="14" t="s">
        <v>77</v>
      </c>
      <c r="B25" t="s">
        <v>30</v>
      </c>
      <c r="D25" s="14" t="s">
        <v>78</v>
      </c>
      <c r="H25" s="14" t="s">
        <v>79</v>
      </c>
    </row>
    <row r="26" spans="1:8" x14ac:dyDescent="0.35">
      <c r="A26" s="7" t="s">
        <v>1</v>
      </c>
      <c r="B26" s="7" t="s">
        <v>80</v>
      </c>
      <c r="D26" s="7" t="s">
        <v>5</v>
      </c>
      <c r="E26" s="7" t="s">
        <v>80</v>
      </c>
      <c r="F26" s="7" t="s">
        <v>81</v>
      </c>
      <c r="H26" s="15" t="s">
        <v>1</v>
      </c>
    </row>
    <row r="27" spans="1:8" x14ac:dyDescent="0.35">
      <c r="A27" s="16" t="s">
        <v>10</v>
      </c>
      <c r="B27" s="17">
        <f>SUMIFS(tbl_base[Faturamento (R$)],tbl_base[Ano-Mês],A27,tbl_base[Loja],IF(Dashboard!$D$4="Todos","&lt;&gt;",Dashboard!$D$4),tbl_base[Cidade],IF(Dashboard!$F$4="Todos","&lt;&gt;",Dashboard!$F$4),tbl_base[Gênero],IF(Dashboard!$H$4="Todos","&lt;&gt;",Dashboard!$H$4),tbl_base[Modelo],IF(Dashboard!$J$4="Todos","&lt;&gt;",Dashboard!$J$4),tbl_base[Ano-Mês],IF(Dashboard!$L$4="Todos","&lt;&gt;",Dashboard!$L$4))</f>
        <v>0</v>
      </c>
      <c r="D27" s="16" t="s">
        <v>31</v>
      </c>
      <c r="E27" s="17">
        <f>SUMIFS(tbl_base[Faturamento (R$)],tbl_base[Modelo],D27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1800</v>
      </c>
      <c r="F27" s="18">
        <f>SUMIFS(tbl_base[Quantidade],tbl_base[Modelo],D27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2</v>
      </c>
      <c r="H27" t="s">
        <v>76</v>
      </c>
    </row>
    <row r="28" spans="1:8" x14ac:dyDescent="0.35">
      <c r="A28" s="16" t="s">
        <v>53</v>
      </c>
      <c r="B28" s="17">
        <f>SUMIFS(tbl_base[Faturamento (R$)],tbl_base[Ano-Mês],A28,tbl_base[Loja],IF(Dashboard!$D$4="Todos","&lt;&gt;",Dashboard!$D$4),tbl_base[Cidade],IF(Dashboard!$F$4="Todos","&lt;&gt;",Dashboard!$F$4),tbl_base[Gênero],IF(Dashboard!$H$4="Todos","&lt;&gt;",Dashboard!$H$4),tbl_base[Modelo],IF(Dashboard!$J$4="Todos","&lt;&gt;",Dashboard!$J$4),tbl_base[Ano-Mês],IF(Dashboard!$L$4="Todos","&lt;&gt;",Dashboard!$L$4))</f>
        <v>7070</v>
      </c>
      <c r="D28" s="16" t="s">
        <v>21</v>
      </c>
      <c r="E28" s="17">
        <f>SUMIFS(tbl_base[Faturamento (R$)],tbl_base[Modelo],D28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600</v>
      </c>
      <c r="F28" s="18">
        <f>SUMIFS(tbl_base[Quantidade],tbl_base[Modelo],D28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  <c r="H28" t="s">
        <v>10</v>
      </c>
    </row>
    <row r="29" spans="1:8" x14ac:dyDescent="0.35">
      <c r="B29" t="s">
        <v>39</v>
      </c>
      <c r="D29" s="16" t="s">
        <v>33</v>
      </c>
      <c r="E29" s="17">
        <f>SUMIFS(tbl_base[Faturamento (R$)],tbl_base[Modelo],D29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780</v>
      </c>
      <c r="F29" s="18">
        <f>SUMIFS(tbl_base[Quantidade],tbl_base[Modelo],D29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  <c r="H29" t="s">
        <v>53</v>
      </c>
    </row>
    <row r="30" spans="1:8" x14ac:dyDescent="0.35">
      <c r="B30" t="s">
        <v>12</v>
      </c>
      <c r="D30" s="16" t="s">
        <v>14</v>
      </c>
      <c r="E30" s="17">
        <f>SUMIFS(tbl_base[Faturamento (R$)],tbl_base[Modelo],D30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750</v>
      </c>
      <c r="F30" s="18">
        <f>SUMIFS(tbl_base[Quantidade],tbl_base[Modelo],D30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</row>
    <row r="31" spans="1:8" x14ac:dyDescent="0.35">
      <c r="B31" t="s">
        <v>41</v>
      </c>
      <c r="D31" s="16" t="s">
        <v>35</v>
      </c>
      <c r="E31" s="17">
        <f>SUMIFS(tbl_base[Faturamento (R$)],tbl_base[Modelo],D31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700</v>
      </c>
      <c r="F31" s="18">
        <f>SUMIFS(tbl_base[Quantidade],tbl_base[Modelo],D31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</row>
    <row r="32" spans="1:8" x14ac:dyDescent="0.35">
      <c r="B32" t="s">
        <v>46</v>
      </c>
      <c r="D32" s="16" t="s">
        <v>27</v>
      </c>
      <c r="E32" s="17">
        <f>SUMIFS(tbl_base[Faturamento (R$)],tbl_base[Modelo],D32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580</v>
      </c>
      <c r="F32" s="18">
        <f>SUMIFS(tbl_base[Quantidade],tbl_base[Modelo],D32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</row>
    <row r="33" spans="1:6" x14ac:dyDescent="0.35">
      <c r="D33" s="16" t="s">
        <v>25</v>
      </c>
      <c r="E33" s="17">
        <f>SUMIFS(tbl_base[Faturamento (R$)],tbl_base[Modelo],D33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650</v>
      </c>
      <c r="F33" s="18">
        <f>SUMIFS(tbl_base[Quantidade],tbl_base[Modelo],D33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</row>
    <row r="34" spans="1:6" x14ac:dyDescent="0.35">
      <c r="D34" s="16" t="s">
        <v>23</v>
      </c>
      <c r="E34" s="17">
        <f>SUMIFS(tbl_base[Faturamento (R$)],tbl_base[Modelo],D34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550</v>
      </c>
      <c r="F34" s="18">
        <f>SUMIFS(tbl_base[Quantidade],tbl_base[Modelo],D34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</row>
    <row r="35" spans="1:6" x14ac:dyDescent="0.35">
      <c r="D35" s="16" t="s">
        <v>29</v>
      </c>
      <c r="E35" s="17">
        <f>SUMIFS(tbl_base[Faturamento (R$)],tbl_base[Modelo],D35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360</v>
      </c>
      <c r="F35" s="18">
        <f>SUMIFS(tbl_base[Quantidade],tbl_base[Modelo],D35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</row>
    <row r="36" spans="1:6" x14ac:dyDescent="0.35">
      <c r="D36" s="16" t="s">
        <v>18</v>
      </c>
      <c r="E36" s="17">
        <f>SUMIFS(tbl_base[Faturamento (R$)],tbl_base[Modelo],D36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300</v>
      </c>
      <c r="F36" s="18">
        <f>SUMIFS(tbl_base[Quantidade],tbl_base[Modelo],D36,tbl_base[Loja],IF(Dashboard!$D$4="Todos","&lt;&gt;",Dashboard!$D$4),tbl_base[Cidade],IF(Dashboard!$F$4="Todos","&lt;&gt;",Dashboard!$F$4),tbl_base[Gênero],IF(Dashboard!$H$4="Todos","&lt;&gt;",Dashboard!$H$4),tbl_base[Ano-Mês],IF(Dashboard!$L$4="Todos","&lt;&gt;",Dashboard!$L$4))</f>
        <v>1</v>
      </c>
    </row>
    <row r="45" spans="1:6" x14ac:dyDescent="0.35">
      <c r="A45" s="14" t="s">
        <v>82</v>
      </c>
    </row>
    <row r="46" spans="1:6" x14ac:dyDescent="0.35">
      <c r="A46" s="7" t="s">
        <v>4</v>
      </c>
      <c r="B46" s="7" t="s">
        <v>80</v>
      </c>
      <c r="C46" s="7" t="s">
        <v>81</v>
      </c>
    </row>
    <row r="47" spans="1:6" x14ac:dyDescent="0.35">
      <c r="A47" s="16" t="s">
        <v>17</v>
      </c>
      <c r="B47" s="17">
        <f>SUMIFS(tbl_base[Faturamento (R$)],tbl_base[Gênero],A47,tbl_base[Loja],IF(Dashboard!$D$4="Todos","&lt;&gt;",Dashboard!$D$4),tbl_base[Cidade],IF(Dashboard!$F$4="Todos","&lt;&gt;",Dashboard!$F$4),tbl_base[Modelo],IF(Dashboard!$J$4="Todos","&lt;&gt;",Dashboard!$J$4),tbl_base[Ano-Mês],IF(Dashboard!$L$4="Todos","&lt;&gt;",Dashboard!$L$4))</f>
        <v>3140</v>
      </c>
      <c r="C47" s="18">
        <f>SUMIFS(tbl_base[Quantidade],tbl_base[Gênero],A47,tbl_base[Loja],IF(Dashboard!$D$4="Todos","&lt;&gt;",Dashboard!$D$4),tbl_base[Cidade],IF(Dashboard!$F$4="Todos","&lt;&gt;",Dashboard!$F$4),tbl_base[Modelo],IF(Dashboard!$J$4="Todos","&lt;&gt;",Dashboard!$J$4),tbl_base[Ano-Mês],IF(Dashboard!$L$4="Todos","&lt;&gt;",Dashboard!$L$4))</f>
        <v>5</v>
      </c>
    </row>
    <row r="48" spans="1:6" x14ac:dyDescent="0.35">
      <c r="A48" s="16" t="s">
        <v>13</v>
      </c>
      <c r="B48" s="17">
        <f>SUMIFS(tbl_base[Faturamento (R$)],tbl_base[Gênero],A48,tbl_base[Loja],IF(Dashboard!$D$4="Todos","&lt;&gt;",Dashboard!$D$4),tbl_base[Cidade],IF(Dashboard!$F$4="Todos","&lt;&gt;",Dashboard!$F$4),tbl_base[Modelo],IF(Dashboard!$J$4="Todos","&lt;&gt;",Dashboard!$J$4),tbl_base[Ano-Mês],IF(Dashboard!$L$4="Todos","&lt;&gt;",Dashboard!$L$4))</f>
        <v>3930</v>
      </c>
      <c r="C48" s="18">
        <f>SUMIFS(tbl_base[Quantidade],tbl_base[Gênero],A48,tbl_base[Loja],IF(Dashboard!$D$4="Todos","&lt;&gt;",Dashboard!$D$4),tbl_base[Cidade],IF(Dashboard!$F$4="Todos","&lt;&gt;",Dashboard!$F$4),tbl_base[Modelo],IF(Dashboard!$J$4="Todos","&lt;&gt;",Dashboard!$J$4),tbl_base[Ano-Mês],IF(Dashboard!$L$4="Todos","&lt;&gt;",Dashboard!$L$4))</f>
        <v>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"/>
  <sheetViews>
    <sheetView showGridLines="0" tabSelected="1" zoomScale="145" zoomScaleNormal="14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7" sqref="L7"/>
    </sheetView>
  </sheetViews>
  <sheetFormatPr defaultRowHeight="14.5" x14ac:dyDescent="0.35"/>
  <cols>
    <col min="1" max="2" width="8.7265625" style="19"/>
    <col min="3" max="3" width="14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  <col min="9" max="9" width="16.36328125" customWidth="1"/>
    <col min="10" max="13" width="18" customWidth="1"/>
    <col min="14" max="14" width="2" customWidth="1"/>
  </cols>
  <sheetData>
    <row r="1" spans="1:14" ht="28" customHeight="1" x14ac:dyDescent="0.35">
      <c r="A1" s="31"/>
      <c r="B1" s="31"/>
      <c r="C1" s="32" t="s">
        <v>86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8" customHeight="1" x14ac:dyDescent="0.35">
      <c r="A2" s="31"/>
      <c r="B2" s="31"/>
      <c r="C2" s="3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x14ac:dyDescent="0.35">
      <c r="A3" s="31"/>
      <c r="B3" s="3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x14ac:dyDescent="0.35">
      <c r="A4" s="31"/>
      <c r="B4" s="31"/>
      <c r="C4" s="21" t="s">
        <v>2</v>
      </c>
      <c r="D4" s="22" t="s">
        <v>15</v>
      </c>
      <c r="E4" s="23" t="s">
        <v>3</v>
      </c>
      <c r="F4" s="22" t="s">
        <v>76</v>
      </c>
      <c r="G4" s="23" t="s">
        <v>4</v>
      </c>
      <c r="H4" s="22" t="s">
        <v>76</v>
      </c>
      <c r="I4" s="21" t="s">
        <v>5</v>
      </c>
      <c r="J4" s="22" t="s">
        <v>76</v>
      </c>
      <c r="K4" s="23" t="s">
        <v>1</v>
      </c>
      <c r="L4" s="22" t="s">
        <v>53</v>
      </c>
      <c r="M4" s="20"/>
      <c r="N4" s="20"/>
    </row>
    <row r="5" spans="1:14" x14ac:dyDescent="0.35">
      <c r="A5" s="31"/>
      <c r="B5" s="3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spans="1:14" x14ac:dyDescent="0.35">
      <c r="A6" s="31"/>
      <c r="B6" s="3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x14ac:dyDescent="0.35">
      <c r="A7" s="31"/>
      <c r="B7" s="31"/>
      <c r="C7" s="41" t="s">
        <v>83</v>
      </c>
      <c r="D7" s="38"/>
      <c r="E7" s="38"/>
      <c r="F7" s="41" t="s">
        <v>84</v>
      </c>
      <c r="G7" s="38"/>
      <c r="H7" s="38"/>
      <c r="I7" s="41" t="s">
        <v>85</v>
      </c>
      <c r="J7" s="38"/>
      <c r="K7" s="38"/>
      <c r="L7" s="20"/>
      <c r="M7" s="20"/>
      <c r="N7" s="20"/>
    </row>
    <row r="8" spans="1:14" ht="14.5" customHeight="1" x14ac:dyDescent="0.35">
      <c r="A8" s="31"/>
      <c r="B8" s="31"/>
      <c r="C8" s="39">
        <f>SUMIFS(tbl_base[Faturamento (R$)],tbl_base[Loja],IF($D$4="Todos","&lt;&gt;",$D$4),tbl_base[Cidade],IF($F$4="Todos","&lt;&gt;",$F$4),tbl_base[Gênero],IF($H$4="Todos","&lt;&gt;",$H$4),tbl_base[Modelo],IF($J$4="Todos","&lt;&gt;",$J$4),tbl_base[Ano-Mês],IF($L$4="Todos","&lt;&gt;",$L$4))</f>
        <v>7070</v>
      </c>
      <c r="D8" s="40"/>
      <c r="E8" s="40"/>
      <c r="F8" s="42">
        <f>SUMIFS(tbl_base[Quantidade],tbl_base[Loja],IF($D$4="Todos","&lt;&gt;",$D$4),tbl_base[Cidade],IF($F$4="Todos","&lt;&gt;",$F$4),tbl_base[Gênero],IF($H$4="Todos","&lt;&gt;",$H$4),tbl_base[Modelo],IF($J$4="Todos","&lt;&gt;",$J$4),tbl_base[Ano-Mês],IF($L$4="Todos","&lt;&gt;",$L$4))</f>
        <v>11</v>
      </c>
      <c r="G8" s="43"/>
      <c r="H8" s="43"/>
      <c r="I8" s="39">
        <f>IFERROR(C8/F8,0)</f>
        <v>642.72727272727275</v>
      </c>
      <c r="J8" s="40"/>
      <c r="K8" s="40"/>
      <c r="L8" s="20"/>
      <c r="M8" s="20"/>
      <c r="N8" s="20"/>
    </row>
    <row r="9" spans="1:14" ht="14.5" customHeight="1" x14ac:dyDescent="0.35">
      <c r="A9" s="31"/>
      <c r="B9" s="31"/>
      <c r="C9" s="39"/>
      <c r="D9" s="40"/>
      <c r="E9" s="40"/>
      <c r="F9" s="42"/>
      <c r="G9" s="43"/>
      <c r="H9" s="43"/>
      <c r="I9" s="39"/>
      <c r="J9" s="40"/>
      <c r="K9" s="40"/>
      <c r="L9" s="20"/>
      <c r="M9" s="20"/>
      <c r="N9" s="20"/>
    </row>
    <row r="10" spans="1:14" x14ac:dyDescent="0.35">
      <c r="A10" s="31"/>
      <c r="B10" s="3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x14ac:dyDescent="0.35">
      <c r="A11" s="31"/>
      <c r="B11" s="31"/>
      <c r="C11" s="34"/>
      <c r="D11" s="35"/>
      <c r="E11" s="35"/>
      <c r="F11" s="35"/>
      <c r="G11" s="35"/>
      <c r="H11" s="35"/>
      <c r="I11" s="20"/>
      <c r="J11" s="34"/>
      <c r="K11" s="35"/>
      <c r="L11" s="35"/>
      <c r="M11" s="35"/>
      <c r="N11" s="20"/>
    </row>
    <row r="12" spans="1:14" x14ac:dyDescent="0.35">
      <c r="A12" s="31"/>
      <c r="B12" s="3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35">
      <c r="A13" s="31"/>
      <c r="B13" s="3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x14ac:dyDescent="0.35">
      <c r="A14" s="31"/>
      <c r="B14" s="3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x14ac:dyDescent="0.35">
      <c r="A15" s="31"/>
      <c r="B15" s="3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x14ac:dyDescent="0.35">
      <c r="A16" s="31"/>
      <c r="B16" s="3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x14ac:dyDescent="0.35">
      <c r="A17" s="31"/>
      <c r="B17" s="31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x14ac:dyDescent="0.35">
      <c r="A18" s="31"/>
      <c r="B18" s="31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x14ac:dyDescent="0.35">
      <c r="A19" s="31"/>
      <c r="B19" s="31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x14ac:dyDescent="0.35">
      <c r="A20" s="31"/>
      <c r="B20" s="31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1:14" x14ac:dyDescent="0.35">
      <c r="A21" s="31"/>
      <c r="B21" s="31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x14ac:dyDescent="0.35">
      <c r="A22" s="31"/>
      <c r="B22" s="31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 x14ac:dyDescent="0.35">
      <c r="A23" s="31"/>
      <c r="B23" s="31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x14ac:dyDescent="0.35">
      <c r="A24" s="31"/>
      <c r="B24" s="31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x14ac:dyDescent="0.35">
      <c r="A25" s="31"/>
      <c r="B25" s="31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 x14ac:dyDescent="0.35">
      <c r="A26" s="31"/>
      <c r="B26" s="3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x14ac:dyDescent="0.35">
      <c r="A27" s="31"/>
      <c r="B27" s="31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 x14ac:dyDescent="0.35">
      <c r="A28" s="31"/>
      <c r="B28" s="31"/>
      <c r="C28" s="34"/>
      <c r="D28" s="35"/>
      <c r="E28" s="35"/>
      <c r="F28" s="35"/>
      <c r="G28" s="35"/>
      <c r="H28" s="35"/>
      <c r="I28" s="20"/>
      <c r="J28" s="20"/>
      <c r="K28" s="20"/>
      <c r="L28" s="20"/>
      <c r="M28" s="20"/>
      <c r="N28" s="20"/>
    </row>
    <row r="29" spans="1:14" x14ac:dyDescent="0.35">
      <c r="A29" s="31"/>
      <c r="B29" s="31"/>
      <c r="C29" s="20"/>
      <c r="D29" s="20"/>
      <c r="E29" s="20"/>
      <c r="F29" s="20"/>
      <c r="G29" s="20"/>
      <c r="H29" s="20"/>
      <c r="I29" s="20"/>
      <c r="J29" s="34"/>
      <c r="K29" s="35"/>
      <c r="L29" s="35"/>
      <c r="M29" s="35"/>
      <c r="N29" s="20"/>
    </row>
    <row r="30" spans="1:14" x14ac:dyDescent="0.35">
      <c r="A30" s="31"/>
      <c r="B30" s="31"/>
      <c r="C30" s="20"/>
      <c r="D30" s="20"/>
      <c r="E30" s="20"/>
      <c r="F30" s="20"/>
      <c r="G30" s="20"/>
      <c r="H30" s="20"/>
      <c r="I30" s="20"/>
      <c r="J30" s="37"/>
      <c r="K30" s="35"/>
      <c r="L30" s="35"/>
      <c r="M30" s="35"/>
      <c r="N30" s="20"/>
    </row>
    <row r="31" spans="1:14" x14ac:dyDescent="0.35">
      <c r="A31" s="31"/>
      <c r="B31" s="31"/>
      <c r="C31" s="20"/>
      <c r="D31" s="20"/>
      <c r="E31" s="20"/>
      <c r="F31" s="20"/>
      <c r="G31" s="20"/>
      <c r="H31" s="20"/>
      <c r="I31" s="20"/>
      <c r="J31" s="37"/>
      <c r="K31" s="35"/>
      <c r="L31" s="35"/>
      <c r="M31" s="35"/>
      <c r="N31" s="20"/>
    </row>
    <row r="32" spans="1:14" x14ac:dyDescent="0.35">
      <c r="A32" s="31"/>
      <c r="B32" s="31"/>
      <c r="C32" s="20"/>
      <c r="D32" s="20"/>
      <c r="E32" s="20"/>
      <c r="F32" s="20"/>
      <c r="G32" s="20"/>
      <c r="H32" s="20"/>
      <c r="I32" s="20"/>
      <c r="J32" s="37"/>
      <c r="K32" s="35"/>
      <c r="L32" s="35"/>
      <c r="M32" s="35"/>
      <c r="N32" s="20"/>
    </row>
    <row r="33" spans="1:14" x14ac:dyDescent="0.35">
      <c r="A33" s="31"/>
      <c r="B33" s="3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x14ac:dyDescent="0.35">
      <c r="A34" s="31"/>
      <c r="B34" s="3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x14ac:dyDescent="0.35">
      <c r="A35" s="31"/>
      <c r="B35" s="31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x14ac:dyDescent="0.35">
      <c r="A36" s="31"/>
      <c r="B36" s="31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x14ac:dyDescent="0.35">
      <c r="A37" s="31"/>
      <c r="B37" s="31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x14ac:dyDescent="0.35">
      <c r="A38" s="31"/>
      <c r="B38" s="31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x14ac:dyDescent="0.35">
      <c r="A39" s="31"/>
      <c r="B39" s="31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x14ac:dyDescent="0.35">
      <c r="A40" s="31"/>
      <c r="B40" s="31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x14ac:dyDescent="0.35">
      <c r="A41" s="31"/>
      <c r="B41" s="31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x14ac:dyDescent="0.35">
      <c r="A42" s="31"/>
      <c r="B42" s="31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x14ac:dyDescent="0.35">
      <c r="A43" s="31"/>
      <c r="B43" s="31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x14ac:dyDescent="0.35">
      <c r="A44" s="31"/>
      <c r="B44" s="31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14" x14ac:dyDescent="0.35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</sheetData>
  <mergeCells count="16">
    <mergeCell ref="C8:E9"/>
    <mergeCell ref="C7:E7"/>
    <mergeCell ref="F8:H9"/>
    <mergeCell ref="F7:H7"/>
    <mergeCell ref="I7:K7"/>
    <mergeCell ref="I8:K9"/>
    <mergeCell ref="A1:B44"/>
    <mergeCell ref="C1:N1"/>
    <mergeCell ref="J11:M11"/>
    <mergeCell ref="J29:M29"/>
    <mergeCell ref="C2:N2"/>
    <mergeCell ref="C11:H11"/>
    <mergeCell ref="C28:H28"/>
    <mergeCell ref="J32:M32"/>
    <mergeCell ref="J30:M30"/>
    <mergeCell ref="J31:M31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Calculos!$A$5:$A$8</xm:f>
          </x14:formula1>
          <xm:sqref>D4</xm:sqref>
        </x14:dataValidation>
        <x14:dataValidation type="list" xr:uid="{00000000-0002-0000-0300-000001000000}">
          <x14:formula1>
            <xm:f>Calculos!$B$5:$B$32</xm:f>
          </x14:formula1>
          <xm:sqref>F4</xm:sqref>
        </x14:dataValidation>
        <x14:dataValidation type="list" xr:uid="{00000000-0002-0000-0300-000002000000}">
          <x14:formula1>
            <xm:f>Calculos!$C$5:$C$7</xm:f>
          </x14:formula1>
          <xm:sqref>H4</xm:sqref>
        </x14:dataValidation>
        <x14:dataValidation type="list" xr:uid="{00000000-0002-0000-0300-000003000000}">
          <x14:formula1>
            <xm:f>Calculos!$D$5:$D$15</xm:f>
          </x14:formula1>
          <xm:sqref>J4</xm:sqref>
        </x14:dataValidation>
        <x14:dataValidation type="list" xr:uid="{00000000-0002-0000-0300-000004000000}">
          <x14:formula1>
            <xm:f>Calculos!$H$27:$H$29</xm:f>
          </x14:formula1>
          <xm:sqref>L4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Base_Dados</vt:lpstr>
      <vt:lpstr>Assets</vt:lpstr>
      <vt:lpstr>Calculos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Yago A Toledo</cp:lastModifiedBy>
  <cp:revision/>
  <dcterms:created xsi:type="dcterms:W3CDTF">2026-05-21T00:29:18Z</dcterms:created>
  <dcterms:modified xsi:type="dcterms:W3CDTF">2026-05-21T12:24:21Z</dcterms:modified>
  <cp:category/>
  <cp:contentStatus/>
</cp:coreProperties>
</file>